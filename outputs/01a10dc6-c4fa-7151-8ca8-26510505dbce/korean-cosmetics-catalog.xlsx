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110f0fa749442f" /></Relationships>
</file>

<file path=xl/workbook.xml><?xml version="1.0" encoding="utf-8"?>
<x:workbook xmlns:x="http://schemas.openxmlformats.org/spreadsheetml/2006/main">
  <x:sheets>
    <x:sheet xmlns:r="http://schemas.openxmlformats.org/officeDocument/2006/relationships" name="Product catalog" sheetId="1" r:id="Rdf427e72c7624922"/>
    <x:sheet xmlns:r="http://schemas.openxmlformats.org/officeDocument/2006/relationships" name="K-pop connections" sheetId="2" r:id="R1daffe9091f5420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mm/dd/yy"/>
  </x:numFmts>
  <x:fonts count="5">
    <x:font>
      <x:sz val="11"/>
      <x:name val="Carlito"/>
    </x:font>
    <x:font>
      <x:sz val="10"/>
      <x:color rgb="FF24232B"/>
      <x:name val="Arial"/>
    </x:font>
    <x:font>
      <x:b/>
      <x:sz val="16"/>
      <x:color rgb="FF5D3D53"/>
      <x:name val="Arial"/>
    </x:font>
    <x:font>
      <x:i/>
      <x:sz val="10"/>
      <x:color rgb="FF64616A"/>
      <x:name val="Arial"/>
    </x:font>
    <x:font>
      <x:b/>
      <x:sz val="10"/>
      <x:color rgb="FFFFFFFF"/>
      <x:name val="Arial"/>
    </x:font>
  </x:fonts>
  <x:fills count="8">
    <x:fill>
      <x:patternFill patternType="none"/>
    </x:fill>
    <x:fill>
      <x:patternFill patternType="gray125"/>
    </x:fill>
    <x:fill>
      <x:patternFill patternType="solid">
        <x:fgColor rgb="FFFFFFFF"/>
      </x:patternFill>
    </x:fill>
    <x:fill>
      <x:patternFill patternType="solid">
        <x:fgColor rgb="FFF6F1F5"/>
      </x:patternFill>
    </x:fill>
    <x:fill>
      <x:patternFill patternType="solid">
        <x:fgColor rgb="FF5D3D53"/>
      </x:patternFill>
    </x:fill>
    <x:fill>
      <x:patternFill patternType="solid">
        <x:fgColor rgb="FFFFFFFF"/>
      </x:patternFill>
    </x:fill>
    <x:fill>
      <x:patternFill patternType="solid">
        <x:fgColor rgb="FFF6F1F5"/>
      </x:patternFill>
    </x:fill>
    <x:fill>
      <x:patternFill patternType="solid">
        <x:fgColor rgb="FF5D3D53"/>
      </x:patternFill>
    </x:fill>
  </x:fills>
  <x:borders count="2">
    <x:border/>
    <x:border>
      <x:bottom style="thin">
        <x:color rgb="FFBDA7B6"/>
      </x:bottom>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200" fontId="1"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0" fontId="1" fillId="2" borderId="0" xfId="0" applyNumberFormat="1" applyFont="1" applyFill="1" applyBorder="1" applyAlignment="1">
      <x:alignment horizontal="right" vertical="top" wrapText="1"/>
    </x:xf>
    <x:xf numFmtId="0" fontId="1" fillId="3" borderId="0" xfId="0" applyNumberFormat="1" applyFont="1" applyFill="1" applyBorder="1" applyAlignment="1">
      <x:alignment horizontal="right" vertical="top" wrapText="1"/>
    </x:xf>
    <x:xf numFmtId="201" fontId="1" fillId="2"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1" fontId="1" fillId="3" borderId="0" xfId="0" applyNumberFormat="1" applyFont="1" applyFill="1" applyBorder="1" applyAlignment="1">
      <x:alignment horizontal="center" vertical="top" wrapText="1"/>
    </x:xf>
    <x:xf numFmtId="0" fontId="1" fillId="0" borderId="0" xfId="0" applyNumberFormat="1" applyFont="1" applyFill="1" applyBorder="1" applyAlignment="1">
      <x:alignment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200" fontId="1" fillId="5"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0" fontId="1" fillId="5" borderId="0" xfId="0" applyNumberFormat="1" applyFont="1" applyFill="1" applyBorder="1" applyAlignment="1">
      <x:alignment horizontal="right" vertical="top" wrapText="1"/>
    </x:xf>
    <x:xf numFmtId="200" fontId="1" fillId="6" borderId="0" xfId="0" applyNumberFormat="1" applyFont="1" applyFill="1" applyBorder="1" applyAlignment="1">
      <x:alignment horizontal="right" vertical="top" wrapText="1"/>
    </x:xf>
    <x:xf numFmtId="0" fontId="1" fillId="5" borderId="0" xfId="0" applyNumberFormat="1" applyFont="1" applyFill="1" applyBorder="1" applyAlignment="1">
      <x:alignment horizontal="right" vertical="top" wrapText="1"/>
    </x:xf>
    <x:xf numFmtId="0" fontId="1" fillId="6" borderId="0" xfId="0" applyNumberFormat="1" applyFont="1" applyFill="1" applyBorder="1" applyAlignment="1">
      <x:alignment horizontal="right" vertical="top" wrapText="1"/>
    </x:xf>
    <x:xf numFmtId="201" fontId="1" fillId="5"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201" fontId="1" fillId="5" borderId="0" xfId="0" applyNumberFormat="1" applyFont="1" applyFill="1" applyBorder="1" applyAlignment="1">
      <x:alignment horizontal="center" vertical="top" wrapText="1"/>
    </x:xf>
    <x:xf numFmtId="201" fontId="1" fillId="6" borderId="0" xfId="0" applyNumberFormat="1" applyFont="1" applyFill="1" applyBorder="1" applyAlignment="1">
      <x:alignment horizontal="center" vertical="top" wrapText="1"/>
    </x:xf>
    <x:xf numFmtId="0" fontId="2" fillId="0" borderId="0" xfId="0" applyNumberFormat="1" applyFont="1" applyFill="1" applyBorder="1"/>
    <x:xf numFmtId="0" fontId="2" fillId="0" borderId="1" xfId="0" applyNumberFormat="1" applyFont="1" applyFill="1" applyBorder="1"/>
    <x:xf numFmtId="0" fontId="1" fillId="0" borderId="1" xfId="0" applyNumberFormat="1" applyFont="1" applyFill="1" applyBorder="1"/>
    <x:xf numFmtId="0" fontId="3" fillId="0" borderId="0" xfId="0" applyNumberFormat="1" applyFont="1" applyFill="1" applyBorder="1"/>
  </x:cellXfs>
  <x:cellStyles count="1">
    <x:cellStyle name="Normal" xfId="0"/>
  </x:cellStyles>
  <x:dxfs count="4">
    <x:dxf>
      <x:font>
        <x:color rgb="FF245335"/>
      </x:font>
      <x:fill>
        <x:patternFill>
          <x:bgColor rgb="FFE5F0E8"/>
        </x:patternFill>
      </x:fill>
    </x:dxf>
    <x:dxf>
      <x:font>
        <x:color rgb="FF644279"/>
      </x:font>
      <x:fill>
        <x:patternFill>
          <x:bgColor rgb="FFECE4F3"/>
        </x:patternFill>
      </x:fill>
    </x:dxf>
    <x:dxf>
      <x:font>
        <x:color rgb="FF245335"/>
      </x:font>
      <x:fill>
        <x:patternFill patternType="solid">
          <x:bgColor rgb="FFE5F0E8"/>
        </x:patternFill>
      </x:fill>
    </x:dxf>
    <x:dxf>
      <x:font>
        <x:color rgb="FF644279"/>
      </x:font>
      <x:fill>
        <x:patternFill patternType="solid">
          <x:bgColor rgb="FFECE4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e259ae5c5345c5" /><Relationship Type="http://schemas.openxmlformats.org/officeDocument/2006/relationships/theme" Target="/xl/theme/theme1.xml" Id="R2dd0af46e1584a8b" /><Relationship Type="http://schemas.openxmlformats.org/officeDocument/2006/relationships/sharedStrings" Target="/xl/sharedStrings.xml" Id="R66642b8df0bc4b35" /><Relationship Type="http://schemas.openxmlformats.org/officeDocument/2006/relationships/worksheet" Target="/xl/worksheets/sheet1.xml" Id="Rdf427e72c7624922" /><Relationship Type="http://schemas.openxmlformats.org/officeDocument/2006/relationships/worksheet" Target="/xl/worksheets/sheet2.xml" Id="R1daffe9091f5420e" /></Relationships>
</file>

<file path=xl/tables/table1.xml><?xml version="1.0" encoding="utf-8"?>
<x:table xmlns:x="http://schemas.openxmlformats.org/spreadsheetml/2006/main" id="1" name="KoreanCosmeticsCatalog" displayName="KoreanCosmeticsCatalog" ref="A6:Y62" headerRowCount="1" totalsRowCount="0" totalsRowShown="0">
  <x:autoFilter ref="A6:Y62"/>
  <x:tableColumns count="25">
    <x:tableColumn id="1" name="No."/>
    <x:tableColumn id="2" name="Brand"/>
    <x:tableColumn id="3" name="Product"/>
    <x:tableColumn id="4" name="Category"/>
    <x:tableColumn id="5" name="Size / shade"/>
    <x:tableColumn id="6" name="Price (USD)"/>
    <x:tableColumn id="7" name="Budget tier"/>
    <x:tableColumn id="8" name="Key ingredients"/>
    <x:tableColumn id="9" name="Ideal customers"/>
    <x:tableColumn id="10" name="Intended benefit"/>
    <x:tableColumn id="11" name="Product source"/>
    <x:tableColumn id="12" name="Ingredient source"/>
    <x:tableColumn id="13" name="Price source"/>
    <x:tableColumn id="14" name="Price basis"/>
    <x:tableColumn id="15" name="Checked on"/>
    <x:tableColumn id="16" name="K-pop artist / group"/>
    <x:tableColumn id="17" name="Evidence type"/>
    <x:tableColumn id="18" name="Association scope"/>
    <x:tableColumn id="19" name="Evidence date"/>
    <x:tableColumn id="20" name="Suggested selling point"/>
    <x:tableColumn id="21" name="K-pop source"/>
    <x:tableColumn id="22" name="Link status"/>
    <x:tableColumn id="23" name="Date basis"/>
    <x:tableColumn id="24" name="Availability"/>
    <x:tableColumn id="25" name="Formula / source notes"/>
  </x:tableColumns>
  <x:tableStyleInfo name="TableStyleLight1" showFirstColumn="0" showLastColumn="0" showRowStripes="1" showColumnStripes="0"/>
</x:table>
</file>

<file path=xl/tables/table2.xml><?xml version="1.0" encoding="utf-8"?>
<x:table xmlns:x="http://schemas.openxmlformats.org/spreadsheetml/2006/main" id="2" name="KpopConnections" displayName="KpopConnections" ref="A6:M29" headerRowCount="1" totalsRowCount="0" totalsRowShown="0">
  <x:autoFilter ref="A6:M29"/>
  <x:tableColumns count="13">
    <x:tableColumn id="1" name="Catalog no."/>
    <x:tableColumn id="2" name="Brand"/>
    <x:tableColumn id="3" name="Product"/>
    <x:tableColumn id="4" name="Price (USD)"/>
    <x:tableColumn id="5" name="Artist / group"/>
    <x:tableColumn id="6" name="Evidence type"/>
    <x:tableColumn id="7" name="Association scope"/>
    <x:tableColumn id="8" name="Suggested selling point"/>
    <x:tableColumn id="9" name="Evidence date"/>
    <x:tableColumn id="10" name="Source"/>
    <x:tableColumn id="11" name="Link status"/>
    <x:tableColumn id="12" name="Date basis"/>
    <x:tableColumn id="13" name="Campaign market"/>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2ffebcd55a4e56" /></Relationships>
</file>

<file path=xl/worksheets/_rels/sheet2.xml.rels>&#65279;<?xml version="1.0" encoding="utf-8"?><Relationships xmlns="http://schemas.openxmlformats.org/package/2006/relationships"><Relationship Type="http://schemas.openxmlformats.org/officeDocument/2006/relationships/table" Target="/xl/tables/table2.xml" Id="R7ad20a6abaf44714" /></Relationships>
</file>

<file path=xl/worksheets/sheet1.xml><?xml version="1.0" encoding="utf-8"?>
<x:worksheet xmlns:x="http://schemas.openxmlformats.org/spreadsheetml/2006/main">
  <x:sheetPr>
    <x:tabColor rgb="FF5D3D53"/>
  </x:sheetPr>
  <x:sheetViews>
    <x:sheetView showGridLines="0" workbookViewId="0">
      <x:pane xSplit="3" ySplit="6" topLeftCell="D7" activePane="bottomRight" state="frozen"/>
    </x:sheetView>
  </x:sheetViews>
  <x:sheetFormatPr defaultRowHeight="15"/>
  <x:cols>
    <x:col min="1" max="1" width="7" hidden="0" customWidth="1"/>
    <x:col min="2" max="2" width="17" hidden="0" customWidth="1"/>
    <x:col min="3" max="3" width="38" hidden="0" customWidth="1"/>
    <x:col min="4" max="4" width="17" hidden="0" customWidth="1"/>
    <x:col min="5" max="5" width="23" hidden="0" customWidth="1"/>
    <x:col min="6" max="6" width="12" hidden="0" customWidth="1"/>
    <x:col min="7" max="7" width="13" hidden="0" customWidth="1"/>
    <x:col min="8" max="8" width="42" hidden="0" customWidth="1"/>
    <x:col min="9" max="9" width="40" hidden="0" customWidth="1"/>
    <x:col min="10" max="10" width="42" hidden="0" customWidth="1"/>
    <x:col min="11" max="11" width="66" hidden="0" customWidth="1"/>
    <x:col min="12" max="12" width="66" hidden="0" customWidth="1"/>
    <x:col min="13" max="13" width="66" hidden="0" customWidth="1"/>
    <x:col min="14" max="14" width="37" hidden="0" customWidth="1"/>
    <x:col min="15" max="15" width="15" hidden="0" customWidth="1"/>
    <x:col min="16" max="16" width="28" hidden="0" customWidth="1"/>
    <x:col min="17" max="17" width="27" hidden="0" customWidth="1"/>
    <x:col min="18" max="18" width="38" hidden="0" customWidth="1"/>
    <x:col min="19" max="19" width="15" hidden="0" customWidth="1"/>
    <x:col min="20" max="20" width="50" hidden="0" customWidth="1"/>
    <x:col min="21" max="21" width="66" hidden="0" customWidth="1"/>
    <x:col min="22" max="22" width="40" hidden="0" customWidth="1"/>
    <x:col min="23" max="23" width="32" hidden="0" customWidth="1"/>
    <x:col min="24" max="24" width="39" hidden="0" customWidth="1"/>
    <x:col min="25" max="25" width="65" hidden="0" customWidth="1"/>
  </x:cols>
  <x:sheetData>
    <x:row r="1">
      <x:c r="A1" s="2"/>
      <x:c r="B1" s="2"/>
      <x:c r="C1" s="2"/>
      <x:c r="D1" s="2"/>
      <x:c r="E1" s="2"/>
      <x:c r="F1" s="2"/>
      <x:c r="G1" s="2"/>
      <x:c r="H1" s="2"/>
      <x:c r="I1" s="2"/>
      <x:c r="J1" s="2"/>
      <x:c r="K1" s="2"/>
      <x:c r="L1" s="2"/>
      <x:c r="M1" s="2"/>
      <x:c r="N1" s="2"/>
      <x:c r="O1" s="2"/>
    </x:row>
    <x:row r="2" ht="28" customHeight="1">
      <x:c r="A2" s="4" t="str">
        <x:v>Korean cosmetics product catalog</x:v>
      </x:c>
      <x:c r="B2" s="5"/>
      <x:c r="C2" s="5"/>
      <x:c r="D2" s="5"/>
      <x:c r="E2" s="5"/>
      <x:c r="F2" s="5"/>
      <x:c r="G2" s="5"/>
      <x:c r="H2" s="5"/>
      <x:c r="I2" s="5"/>
      <x:c r="J2" s="5"/>
      <x:c r="K2" s="2"/>
      <x:c r="L2" s="2"/>
      <x:c r="M2" s="2"/>
      <x:c r="N2" s="2"/>
      <x:c r="O2" s="2"/>
    </x:row>
    <x:row r="3" ht="19" customHeight="1">
      <x:c r="A3" s="6" t="str">
        <x:v>56 products from 24 brands. USD prices for U.S. retail or identified imports. Checked October 5, 2026. Tax, duties and shipping excluded.</x:v>
      </x:c>
      <x:c r="B3" s="6"/>
      <x:c r="C3" s="6"/>
      <x:c r="D3" s="6"/>
      <x:c r="E3" s="6"/>
      <x:c r="F3" s="6"/>
      <x:c r="G3" s="6"/>
      <x:c r="H3" s="6"/>
      <x:c r="I3" s="6"/>
      <x:c r="J3" s="6"/>
      <x:c r="K3" s="2"/>
      <x:c r="L3" s="2"/>
      <x:c r="M3" s="2"/>
      <x:c r="N3" s="2"/>
      <x:c r="O3" s="2"/>
    </x:row>
    <x:row r="4" ht="19" customHeight="1">
      <x:c r="A4" s="6" t="str">
        <x:v>Budget: $15 or less. Mid-range: over $15 to $30. Premium: over $30. Key ingredients only. Customer fit is inferred.</x:v>
      </x:c>
      <x:c r="B4" s="6"/>
      <x:c r="C4" s="6"/>
      <x:c r="D4" s="6"/>
      <x:c r="E4" s="6"/>
      <x:c r="F4" s="6"/>
      <x:c r="G4" s="6"/>
      <x:c r="H4" s="6"/>
      <x:c r="I4" s="6"/>
      <x:c r="J4" s="6"/>
      <x:c r="K4" s="2"/>
      <x:c r="L4" s="2"/>
      <x:c r="M4" s="2"/>
      <x:c r="N4" s="2"/>
      <x:c r="O4" s="2"/>
    </x:row>
    <x:row r="5" ht="19" customHeight="1">
      <x:c r="A5" s="6" t="str">
        <x:v>Benefits describe intended cosmetic effects. K-pop links, stock and source notes appear in P:Y and the K-pop connections sheet.</x:v>
      </x:c>
      <x:c r="B5" s="6"/>
      <x:c r="C5" s="6"/>
      <x:c r="D5" s="6"/>
      <x:c r="E5" s="6"/>
      <x:c r="F5" s="6"/>
      <x:c r="G5" s="6"/>
      <x:c r="H5" s="6"/>
      <x:c r="I5" s="6"/>
      <x:c r="J5" s="6"/>
      <x:c r="K5" s="2"/>
      <x:c r="L5" s="2"/>
      <x:c r="M5" s="2"/>
      <x:c r="N5" s="2"/>
      <x:c r="O5" s="2"/>
    </x:row>
    <x:row r="6" ht="33" customHeight="1">
      <x:c r="A6" s="14" t="str">
        <x:v>No.</x:v>
      </x:c>
      <x:c r="B6" s="14" t="str">
        <x:v>Brand</x:v>
      </x:c>
      <x:c r="C6" s="14" t="str">
        <x:v>Product</x:v>
      </x:c>
      <x:c r="D6" s="14" t="str">
        <x:v>Category</x:v>
      </x:c>
      <x:c r="E6" s="14" t="str">
        <x:v>Size / shade</x:v>
      </x:c>
      <x:c r="F6" s="14" t="str">
        <x:v>Price (USD)</x:v>
      </x:c>
      <x:c r="G6" s="14" t="str">
        <x:v>Budget tier</x:v>
      </x:c>
      <x:c r="H6" s="14" t="str">
        <x:v>Key ingredients</x:v>
      </x:c>
      <x:c r="I6" s="14" t="str">
        <x:v>Ideal customers</x:v>
      </x:c>
      <x:c r="J6" s="14" t="str">
        <x:v>Intended benefit</x:v>
      </x:c>
      <x:c r="K6" s="14" t="str">
        <x:v>Product source</x:v>
      </x:c>
      <x:c r="L6" s="14" t="str">
        <x:v>Ingredient source</x:v>
      </x:c>
      <x:c r="M6" s="14" t="str">
        <x:v>Price source</x:v>
      </x:c>
      <x:c r="N6" s="14" t="str">
        <x:v>Price basis</x:v>
      </x:c>
      <x:c r="O6" s="14" t="str">
        <x:v>Checked on</x:v>
      </x:c>
      <x:c r="P6" s="32" t="str">
        <x:v>K-pop artist / group</x:v>
      </x:c>
      <x:c r="Q6" s="32" t="str">
        <x:v>Evidence type</x:v>
      </x:c>
      <x:c r="R6" s="32" t="str">
        <x:v>Association scope</x:v>
      </x:c>
      <x:c r="S6" s="32" t="str">
        <x:v>Evidence date</x:v>
      </x:c>
      <x:c r="T6" s="32" t="str">
        <x:v>Suggested selling point</x:v>
      </x:c>
      <x:c r="U6" s="32" t="str">
        <x:v>K-pop source</x:v>
      </x:c>
      <x:c r="V6" s="32" t="str">
        <x:v>Link status</x:v>
      </x:c>
      <x:c r="W6" s="32" t="str">
        <x:v>Date basis</x:v>
      </x:c>
      <x:c r="X6" s="32" t="str">
        <x:v>Availability</x:v>
      </x:c>
      <x:c r="Y6" s="32" t="str">
        <x:v>Formula / source notes</x:v>
      </x:c>
    </x:row>
    <x:row r="7" ht="36" hidden="0" customHeight="1">
      <x:c r="A7" s="19" t="n">
        <x:v>1</x:v>
      </x:c>
      <x:c r="B7" s="9" t="str">
        <x:v>Beauty of Joseon</x:v>
      </x:c>
      <x:c r="C7" s="9" t="str">
        <x:v>Green Plum Refreshing Cleanser</x:v>
      </x:c>
      <x:c r="D7" s="9" t="str">
        <x:v>Water-based cleanser</x:v>
      </x:c>
      <x:c r="E7" s="9" t="str">
        <x:v>100 ml / 3.38 fl oz</x:v>
      </x:c>
      <x:c r="F7" s="17" t="n">
        <x:v>13</x:v>
      </x:c>
      <x:c r="G7" s="9" t="str">
        <x:f>IF(F7&lt;=15,"Budget",IF(F7&lt;=30,"Mid-range","Premium"))</x:f>
        <x:v>Budget</x:v>
      </x:c>
      <x:c r="H7" s="9" t="str">
        <x:v>Plum fruit water (Prunus Mume Fruit Water); Mung bean seed extract (Phaseolus Radiatus Seed Extract); Glycerin</x:v>
      </x:c>
      <x:c r="I7" s="9" t="str">
        <x:v>Inferred: all skin types seeking a gentle everyday gel cleanse, especially those who dislike a stripped feeling.</x:v>
      </x:c>
      <x:c r="J7" s="9" t="str">
        <x:v>Removes everyday impurities while helping retain moisture and leaving skin soft and refreshed.</x:v>
      </x:c>
      <x:c r="K7" s="9" t="str">
        <x:v>https://beautyofjoseon.com/products/green-plum-refreshing-cleanser</x:v>
      </x:c>
      <x:c r="L7" s="9" t="str">
        <x:v>https://beautyofjoseon.com/products/green-plum-refreshing-cleanser</x:v>
      </x:c>
      <x:c r="M7" s="9" t="str">
        <x:v>https://beautyofjoseon.com/products/green-plum-refreshing-cleanser</x:v>
      </x:c>
      <x:c r="N7" s="9" t="str">
        <x:v>Brand official U.S. regular listed price; excludes tax and shipping</x:v>
      </x:c>
      <x:c r="O7" s="23" t="n">
        <x:v>46300.5</x:v>
      </x:c>
      <x:c r="P7" s="26" t="str"/>
      <x:c r="Q7" s="26" t="str"/>
      <x:c r="R7" s="26" t="str"/>
      <x:c r="S7" s="39" t="str"/>
      <x:c r="T7" s="26" t="str"/>
      <x:c r="U7" s="26" t="str"/>
      <x:c r="V7" s="26" t="str"/>
      <x:c r="W7" s="26" t="str"/>
      <x:c r="X7" s="26" t="str">
        <x:v>Not assessed</x:v>
      </x:c>
      <x:c r="Y7" s="26" t="str"/>
    </x:row>
    <x:row r="8" ht="36" hidden="0" customHeight="1">
      <x:c r="A8" s="20" t="n">
        <x:v>2</x:v>
      </x:c>
      <x:c r="B8" s="10" t="str">
        <x:v>Beauty of Joseon</x:v>
      </x:c>
      <x:c r="C8" s="10" t="str">
        <x:v>Ginseng Essence Water</x:v>
      </x:c>
      <x:c r="D8" s="10" t="str">
        <x:v>Hydrating toner / essence</x:v>
      </x:c>
      <x:c r="E8" s="10" t="str">
        <x:v>150 ml / 5.07 fl oz</x:v>
      </x:c>
      <x:c r="F8" s="18" t="n">
        <x:v>18</x:v>
      </x:c>
      <x:c r="G8" s="10" t="str">
        <x:f>IF(F8&lt;=15,"Budget",IF(F8&lt;=30,"Mid-range","Premium"))</x:f>
        <x:v>Mid-range</x:v>
      </x:c>
      <x:c r="H8" s="10" t="str">
        <x:v>Ginseng root water; Ginseng extract complex; Niacinamide; Panthenol</x:v>
      </x:c>
      <x:c r="I8" s="10" t="str">
        <x:v>Inferred: dry, dehydrated or dull skin; customers who prefer a lightweight watery layer before serum and moisturizer.</x:v>
      </x:c>
      <x:c r="J8" s="10" t="str">
        <x:v>Adds hydration, supports the moisture barrier and helps skin look balanced and glowing.</x:v>
      </x:c>
      <x:c r="K8" s="10" t="str">
        <x:v>https://beautyofjoseon.com/products/ginseng-essence-water</x:v>
      </x:c>
      <x:c r="L8" s="10" t="str">
        <x:v>https://beautyofjoseon.com/products/ginseng-essence-water</x:v>
      </x:c>
      <x:c r="M8" s="10" t="str">
        <x:v>https://beautyofjoseon.com/products/ginseng-essence-water</x:v>
      </x:c>
      <x:c r="N8" s="10" t="str">
        <x:v>Brand official U.S. regular listed price; excludes tax and shipping</x:v>
      </x:c>
      <x:c r="O8" s="24" t="n">
        <x:v>46300.5</x:v>
      </x:c>
      <x:c r="P8" s="27" t="str"/>
      <x:c r="Q8" s="27" t="str"/>
      <x:c r="R8" s="27" t="str"/>
      <x:c r="S8" s="40" t="str"/>
      <x:c r="T8" s="27" t="str"/>
      <x:c r="U8" s="27" t="str"/>
      <x:c r="V8" s="27" t="str"/>
      <x:c r="W8" s="27" t="str"/>
      <x:c r="X8" s="27" t="str">
        <x:v>Not assessed</x:v>
      </x:c>
      <x:c r="Y8" s="27" t="str"/>
    </x:row>
    <x:row r="9" ht="36" hidden="0" customHeight="1">
      <x:c r="A9" s="19" t="n">
        <x:v>3</x:v>
      </x:c>
      <x:c r="B9" s="9" t="str">
        <x:v>Beauty of Joseon</x:v>
      </x:c>
      <x:c r="C9" s="9" t="str">
        <x:v>Glow Serum: Propolis + Niacinamide</x:v>
      </x:c>
      <x:c r="D9" s="9" t="str">
        <x:v>Balancing serum</x:v>
      </x:c>
      <x:c r="E9" s="9" t="str">
        <x:v>30 ml / 1.01 fl oz</x:v>
      </x:c>
      <x:c r="F9" s="17" t="n">
        <x:v>17</x:v>
      </x:c>
      <x:c r="G9" s="9" t="str">
        <x:f>IF(F9&lt;=15,"Budget",IF(F9&lt;=30,"Mid-range","Premium"))</x:f>
        <x:v>Mid-range</x:v>
      </x:c>
      <x:c r="H9" s="9" t="str">
        <x:v>Propolis extract; Niacinamide; Betaine salicylate (BHA); Glycerin</x:v>
      </x:c>
      <x:c r="I9" s="9" t="str">
        <x:v>Inferred: combination or oily skin with visible pores or uneven texture; customers seeking a cushioned hydrating serum with a glowy finish.</x:v>
      </x:c>
      <x:c r="J9" s="9" t="str">
        <x:v>Hydrates and comforts skin, helps balance oil and refines the appearance of pores and texture.</x:v>
      </x:c>
      <x:c r="K9" s="9" t="str">
        <x:v>https://beautyofjoseon.com/products/glow-serum-propolis-niacinamide</x:v>
      </x:c>
      <x:c r="L9" s="9" t="str">
        <x:v>https://beautyofjoseon.com/products/glow-serum-propolis-niacinamide</x:v>
      </x:c>
      <x:c r="M9" s="9" t="str">
        <x:v>https://beautyofjoseon.com/products/glow-serum-propolis-niacinamide</x:v>
      </x:c>
      <x:c r="N9" s="9" t="str">
        <x:v>Brand official U.S. regular reference price; current displayed sale $15.30; excludes tax and shipping</x:v>
      </x:c>
      <x:c r="O9" s="23" t="n">
        <x:v>46300.5</x:v>
      </x:c>
      <x:c r="P9" s="26" t="str"/>
      <x:c r="Q9" s="26" t="str"/>
      <x:c r="R9" s="26" t="str"/>
      <x:c r="S9" s="39" t="str"/>
      <x:c r="T9" s="26" t="str"/>
      <x:c r="U9" s="26" t="str"/>
      <x:c r="V9" s="26" t="str"/>
      <x:c r="W9" s="26" t="str"/>
      <x:c r="X9" s="26" t="str">
        <x:v>Not assessed</x:v>
      </x:c>
      <x:c r="Y9" s="26" t="str"/>
    </x:row>
    <x:row r="10" ht="24" hidden="0" customHeight="1">
      <x:c r="A10" s="20" t="n">
        <x:v>4</x:v>
      </x:c>
      <x:c r="B10" s="10" t="str">
        <x:v>Beauty of Joseon</x:v>
      </x:c>
      <x:c r="C10" s="10" t="str">
        <x:v>Dynasty Cream</x:v>
      </x:c>
      <x:c r="D10" s="10" t="str">
        <x:v>Moisturizer</x:v>
      </x:c>
      <x:c r="E10" s="10" t="str">
        <x:v>50 ml / 1.69 fl oz</x:v>
      </x:c>
      <x:c r="F10" s="18" t="n">
        <x:v>24</x:v>
      </x:c>
      <x:c r="G10" s="10" t="str">
        <x:f>IF(F10&lt;=15,"Budget",IF(F10&lt;=30,"Mid-range","Premium"))</x:f>
        <x:v>Mid-range</x:v>
      </x:c>
      <x:c r="H10" s="10" t="str">
        <x:v>Rice bran water; Ginseng root water; Squalane; Niacinamide</x:v>
      </x:c>
      <x:c r="I10" s="10" t="str">
        <x:v>Inferred: normal to dry or dehydrated skin; customers who want a nourishing moisturizer and a dewy finish.</x:v>
      </x:c>
      <x:c r="J10" s="10" t="str">
        <x:v>Provides lasting moisture and helps skin look plump, smooth and radiant.</x:v>
      </x:c>
      <x:c r="K10" s="10" t="str">
        <x:v>https://beautyofjoseon.com/products/dynasty-cream?variant=43222120759461</x:v>
      </x:c>
      <x:c r="L10" s="10" t="str">
        <x:v>https://beautyofjoseon.com/products/dynasty-cream?variant=43222120759461</x:v>
      </x:c>
      <x:c r="M10" s="10" t="str">
        <x:v>https://beautyofjoseon.com/products/dynasty-cream?variant=43222120759461</x:v>
      </x:c>
      <x:c r="N10" s="10" t="str">
        <x:v>Brand official U.S. regular listed price for verified 50 ml variant; excludes tax and shipping</x:v>
      </x:c>
      <x:c r="O10" s="24" t="n">
        <x:v>46300.5</x:v>
      </x:c>
      <x:c r="P10" s="27" t="str"/>
      <x:c r="Q10" s="27" t="str"/>
      <x:c r="R10" s="27" t="str"/>
      <x:c r="S10" s="40" t="str"/>
      <x:c r="T10" s="27" t="str"/>
      <x:c r="U10" s="27" t="str"/>
      <x:c r="V10" s="27" t="str"/>
      <x:c r="W10" s="27" t="str"/>
      <x:c r="X10" s="27" t="str">
        <x:v>Not assessed</x:v>
      </x:c>
      <x:c r="Y10" s="27" t="str"/>
    </x:row>
    <x:row r="11" ht="36" hidden="0" customHeight="1">
      <x:c r="A11" s="19" t="n">
        <x:v>5</x:v>
      </x:c>
      <x:c r="B11" s="9" t="str">
        <x:v>Beauty of Joseon</x:v>
      </x:c>
      <x:c r="C11" s="9" t="str">
        <x:v>Revive Eye Serum: Ginseng + Retinal</x:v>
      </x:c>
      <x:c r="D11" s="9" t="str">
        <x:v>Eye serum</x:v>
      </x:c>
      <x:c r="E11" s="9" t="str">
        <x:v>30 ml</x:v>
      </x:c>
      <x:c r="F11" s="17" t="n">
        <x:v>17</x:v>
      </x:c>
      <x:c r="G11" s="9" t="str">
        <x:f>IF(F11&lt;=15,"Budget",IF(F11&lt;=30,"Mid-range","Premium"))</x:f>
        <x:v>Mid-range</x:v>
      </x:c>
      <x:c r="H11" s="9" t="str">
        <x:v>Retinal liposomes; Ginseng root extract; Niacinamide; Ceramide NP</x:v>
      </x:c>
      <x:c r="I11" s="9" t="str">
        <x:v>Inferred: adults concerned about dry-looking under-eyes, visible fine lines or dullness who prefer a lightweight serum texture.</x:v>
      </x:c>
      <x:c r="J11" s="9" t="str">
        <x:v>Hydrates the eye area and helps smooth the appearance of fine lines for firmer-looking, refreshed under-eyes.</x:v>
      </x:c>
      <x:c r="K11" s="9" t="str">
        <x:v>https://beautyofjoseon.com/products/revive-eye-serum-ginseng-retinal</x:v>
      </x:c>
      <x:c r="L11" s="9" t="str">
        <x:v>https://beautyofjoseon.com/products/revive-eye-serum-ginseng-retinal</x:v>
      </x:c>
      <x:c r="M11" s="9" t="str">
        <x:v>https://beautyofjoseon.com/products/revive-eye-serum-ginseng-retinal</x:v>
      </x:c>
      <x:c r="N11" s="9" t="str">
        <x:v>Brand official U.S. regular listed price; excludes tax and shipping</x:v>
      </x:c>
      <x:c r="O11" s="23" t="n">
        <x:v>46300.5</x:v>
      </x:c>
      <x:c r="P11" s="26" t="str"/>
      <x:c r="Q11" s="26" t="str"/>
      <x:c r="R11" s="26" t="str"/>
      <x:c r="S11" s="39" t="str"/>
      <x:c r="T11" s="26" t="str"/>
      <x:c r="U11" s="26" t="str"/>
      <x:c r="V11" s="26" t="str"/>
      <x:c r="W11" s="26" t="str"/>
      <x:c r="X11" s="26" t="str">
        <x:v>Not assessed</x:v>
      </x:c>
      <x:c r="Y11" s="26" t="str"/>
    </x:row>
    <x:row r="12" ht="36" hidden="0" customHeight="1">
      <x:c r="A12" s="20" t="n">
        <x:v>6</x:v>
      </x:c>
      <x:c r="B12" s="10" t="str">
        <x:v>Beauty of Joseon</x:v>
      </x:c>
      <x:c r="C12" s="10" t="str">
        <x:v>Day Dew Sunscreen SPF 50 (U.S. formula)</x:v>
      </x:c>
      <x:c r="D12" s="10" t="str">
        <x:v>Sunscreen</x:v>
      </x:c>
      <x:c r="E12" s="10" t="str">
        <x:v>50 ml / 1.69 fl oz (1-pack)</x:v>
      </x:c>
      <x:c r="F12" s="18" t="n">
        <x:v>18</x:v>
      </x:c>
      <x:c r="G12" s="10" t="str">
        <x:f>IF(F12&lt;=15,"Budget",IF(F12&lt;=30,"Mid-range","Premium"))</x:f>
        <x:v>Mid-range</x:v>
      </x:c>
      <x:c r="H12" s="10" t="str">
        <x:v>Avobenzone 3%; Homosalate 7%; Octisalate 5%; Octocrylene 5%; Niacinamide; Panthenol; Sodium hyaluronate</x:v>
      </x:c>
      <x:c r="I12" s="10" t="str">
        <x:v>Inferred: normal to dry skin; U.S. customers seeking a hydrating SPF with a dewy finish that layers under makeup.</x:v>
      </x:c>
      <x:c r="J12" s="10" t="str">
        <x:v>Offers broad-spectrum SPF 50 protection plus lightweight hydration; labeled water resistance is 80 minutes.</x:v>
      </x:c>
      <x:c r="K12" s="10" t="str">
        <x:v>https://beautyofjoseon.com/products/day-dew-sunscreen</x:v>
      </x:c>
      <x:c r="L12" s="10" t="str">
        <x:v>https://beautyofjoseon.com/products/day-dew-sunscreen</x:v>
      </x:c>
      <x:c r="M12" s="10" t="str">
        <x:v>https://beautyofjoseon.com/products/day-dew-sunscreen</x:v>
      </x:c>
      <x:c r="N12" s="10" t="str">
        <x:v>Brand official U.S. regular reference price; current displayed sale $16.20; excludes tax and shipping</x:v>
      </x:c>
      <x:c r="O12" s="24" t="n">
        <x:v>46300.5</x:v>
      </x:c>
      <x:c r="P12" s="27" t="str"/>
      <x:c r="Q12" s="27" t="str"/>
      <x:c r="R12" s="27" t="str"/>
      <x:c r="S12" s="40" t="str"/>
      <x:c r="T12" s="27" t="str"/>
      <x:c r="U12" s="27" t="str"/>
      <x:c r="V12" s="27" t="str"/>
      <x:c r="W12" s="27" t="str"/>
      <x:c r="X12" s="27" t="str">
        <x:v>Not assessed</x:v>
      </x:c>
      <x:c r="Y12" s="27" t="str"/>
    </x:row>
    <x:row r="13" ht="36" hidden="0" customHeight="1">
      <x:c r="A13" s="19" t="n">
        <x:v>7</x:v>
      </x:c>
      <x:c r="B13" s="9" t="str">
        <x:v>COSRX</x:v>
      </x:c>
      <x:c r="C13" s="9" t="str">
        <x:v>Low pH Good Morning Gel Cleanser</x:v>
      </x:c>
      <x:c r="D13" s="9" t="str">
        <x:v>Water-based cleanser</x:v>
      </x:c>
      <x:c r="E13" s="9" t="str">
        <x:v>150 ml / 5.07 fl oz</x:v>
      </x:c>
      <x:c r="F13" s="17" t="n">
        <x:v>14</x:v>
      </x:c>
      <x:c r="G13" s="9" t="str">
        <x:f>IF(F13&lt;=15,"Budget",IF(F13&lt;=30,"Mid-range","Premium"))</x:f>
        <x:v>Budget</x:v>
      </x:c>
      <x:c r="H13" s="9" t="str">
        <x:v>Betaine salicylate (BHA); Tea tree leaf oil; Allantoin</x:v>
      </x:c>
      <x:c r="I13" s="9" t="str">
        <x:v>Inferred: normal or combination skin seeking a light gel cleanser and a fresh feel; customers comfortable with tea tree oil.</x:v>
      </x:c>
      <x:c r="J13" s="9" t="str">
        <x:v>Cleanses impurities while helping retain moisture and leaving skin feeling smooth and refreshed.</x:v>
      </x:c>
      <x:c r="K13" s="9" t="str">
        <x:v>https://www.cosrx.com/products/low-ph-good-morning-gel-cleanser</x:v>
      </x:c>
      <x:c r="L13" s="9" t="str">
        <x:v>https://www.cosrx.com/products/low-ph-good-morning-gel-cleanser</x:v>
      </x:c>
      <x:c r="M13" s="9" t="str">
        <x:v>https://www.cosrx.com/products/low-ph-good-morning-gel-cleanser</x:v>
      </x:c>
      <x:c r="N13" s="9" t="str">
        <x:v>Brand official store, United States (USD), regular listed price; excludes tax and shipping</x:v>
      </x:c>
      <x:c r="O13" s="23" t="n">
        <x:v>46300.5</x:v>
      </x:c>
      <x:c r="P13" s="26" t="str"/>
      <x:c r="Q13" s="26" t="str"/>
      <x:c r="R13" s="26" t="str"/>
      <x:c r="S13" s="39" t="str"/>
      <x:c r="T13" s="26" t="str"/>
      <x:c r="U13" s="26" t="str"/>
      <x:c r="V13" s="26" t="str"/>
      <x:c r="W13" s="26" t="str"/>
      <x:c r="X13" s="26" t="str">
        <x:v>Not assessed</x:v>
      </x:c>
      <x:c r="Y13" s="26" t="str"/>
    </x:row>
    <x:row r="14" ht="36" hidden="0" customHeight="1">
      <x:c r="A14" s="20" t="n">
        <x:v>8</x:v>
      </x:c>
      <x:c r="B14" s="10" t="str">
        <x:v>COSRX</x:v>
      </x:c>
      <x:c r="C14" s="10" t="str">
        <x:v>Full Fit Propolis Synergy Toner</x:v>
      </x:c>
      <x:c r="D14" s="10" t="str">
        <x:v>Hydrating toner</x:v>
      </x:c>
      <x:c r="E14" s="10" t="str">
        <x:v>280 ml / 9.46 fl oz</x:v>
      </x:c>
      <x:c r="F14" s="18" t="n">
        <x:v>29</x:v>
      </x:c>
      <x:c r="G14" s="10" t="str">
        <x:f>IF(F14&lt;=15,"Budget",IF(F14&lt;=30,"Mid-range","Premium"))</x:f>
        <x:v>Mid-range</x:v>
      </x:c>
      <x:c r="H14" s="10" t="str">
        <x:v>Propolis extract 72.6%; Honey extract; Panthenol 0.2%; Sodium hyaluronate</x:v>
      </x:c>
      <x:c r="I14" s="10" t="str">
        <x:v>Inferred: dull or dehydrated skin; customers who want a nourishing toner and a soft, glowing finish and are comfortable using bee-derived ingredients.</x:v>
      </x:c>
      <x:c r="J14" s="10" t="str">
        <x:v>Hydrates, softens and helps skin look plump, smooth and glowing.</x:v>
      </x:c>
      <x:c r="K14" s="10" t="str">
        <x:v>https://www.cosrx.com/products/full-fit-propolis-synergy-toner</x:v>
      </x:c>
      <x:c r="L14" s="10" t="str">
        <x:v>https://www.cosrx.com/products/full-fit-propolis-synergy-toner</x:v>
      </x:c>
      <x:c r="M14" s="10" t="str">
        <x:v>https://www.cosrx.com/products/full-fit-propolis-synergy-toner</x:v>
      </x:c>
      <x:c r="N14" s="10" t="str">
        <x:v>Brand official store, United States (USD), regular listed price for selected 280 ml; excludes tax and shipping</x:v>
      </x:c>
      <x:c r="O14" s="24" t="n">
        <x:v>46300.5</x:v>
      </x:c>
      <x:c r="P14" s="27" t="str"/>
      <x:c r="Q14" s="27" t="str"/>
      <x:c r="R14" s="27" t="str"/>
      <x:c r="S14" s="40" t="str"/>
      <x:c r="T14" s="27" t="str"/>
      <x:c r="U14" s="27" t="str"/>
      <x:c r="V14" s="27" t="str"/>
      <x:c r="W14" s="27" t="str"/>
      <x:c r="X14" s="27" t="str">
        <x:v>Not assessed</x:v>
      </x:c>
      <x:c r="Y14" s="27" t="str"/>
    </x:row>
    <x:row r="15" ht="48" hidden="0" customHeight="1">
      <x:c r="A15" s="19" t="n">
        <x:v>9</x:v>
      </x:c>
      <x:c r="B15" s="9" t="str">
        <x:v>COSRX</x:v>
      </x:c>
      <x:c r="C15" s="9" t="str">
        <x:v>Advanced Snail 96 Mucin Power Essence</x:v>
      </x:c>
      <x:c r="D15" s="9" t="str">
        <x:v>Hydrating essence</x:v>
      </x:c>
      <x:c r="E15" s="9" t="str">
        <x:v>100 ml / 3.38 fl oz</x:v>
      </x:c>
      <x:c r="F15" s="17" t="n">
        <x:v>25</x:v>
      </x:c>
      <x:c r="G15" s="9" t="str">
        <x:f>IF(F15&lt;=15,"Budget",IF(F15&lt;=30,"Mid-range","Premium"))</x:f>
        <x:v>Mid-range</x:v>
      </x:c>
      <x:c r="H15" s="9" t="str">
        <x:v>Snail secretion filtrate 96.3%; Sodium hyaluronate; Allantoin; Panthenol</x:v>
      </x:c>
      <x:c r="I15" s="9" t="str">
        <x:v>Inferred: dehydrated or dull skin, including skin with uneven texture after blemishes; customers comfortable with snail-derived ingredients and a lightweight essence.</x:v>
      </x:c>
      <x:c r="J15" s="9" t="str">
        <x:v>Replenishes moisture, supports the moisture barrier and helps skin look smoother and more radiant.</x:v>
      </x:c>
      <x:c r="K15" s="9" t="str">
        <x:v>https://www.cosrx.com/products/advanced-snail-96-mucin-power-essence</x:v>
      </x:c>
      <x:c r="L15" s="9" t="str">
        <x:v>https://www.cosrx.com/products/advanced-snail-96-mucin-power-essence</x:v>
      </x:c>
      <x:c r="M15" s="9" t="str">
        <x:v>https://www.cosrx.com/products/advanced-snail-96-mucin-power-essence</x:v>
      </x:c>
      <x:c r="N15" s="9" t="str">
        <x:v>Brand official store, United States (USD), regular listed price; excludes tax and shipping</x:v>
      </x:c>
      <x:c r="O15" s="23" t="n">
        <x:v>46300.5</x:v>
      </x:c>
      <x:c r="P15" s="26" t="str"/>
      <x:c r="Q15" s="26" t="str"/>
      <x:c r="R15" s="26" t="str"/>
      <x:c r="S15" s="39" t="str"/>
      <x:c r="T15" s="26" t="str"/>
      <x:c r="U15" s="26" t="str"/>
      <x:c r="V15" s="26" t="str"/>
      <x:c r="W15" s="26" t="str"/>
      <x:c r="X15" s="26" t="str">
        <x:v>Not assessed</x:v>
      </x:c>
      <x:c r="Y15" s="26" t="str"/>
    </x:row>
    <x:row r="16" ht="36" hidden="0" customHeight="1">
      <x:c r="A16" s="20" t="n">
        <x:v>10</x:v>
      </x:c>
      <x:c r="B16" s="10" t="str">
        <x:v>COSRX</x:v>
      </x:c>
      <x:c r="C16" s="10" t="str">
        <x:v>The Niacinamide 15 Serum</x:v>
      </x:c>
      <x:c r="D16" s="10" t="str">
        <x:v>Balancing serum</x:v>
      </x:c>
      <x:c r="E16" s="10" t="str">
        <x:v>20 ml / 0.67 fl oz (single)</x:v>
      </x:c>
      <x:c r="F16" s="18" t="n">
        <x:v>25</x:v>
      </x:c>
      <x:c r="G16" s="10" t="str">
        <x:f>IF(F16&lt;=15,"Budget",IF(F16&lt;=30,"Mid-range","Premium"))</x:f>
        <x:v>Mid-range</x:v>
      </x:c>
      <x:c r="H16" s="10" t="str">
        <x:v>Niacinamide 15%; Acetyl glucosamine (NAG); Zinc PCA; Allantoin</x:v>
      </x:c>
      <x:c r="I16" s="10" t="str">
        <x:v>Inferred: oily or combination skin with visible pores, excess shine or uneven-looking tone; customers who already tolerate niacinamide.</x:v>
      </x:c>
      <x:c r="J16" s="10" t="str">
        <x:v>Helps reduce excess shine and refine the appearance of pores, texture and post-blemish marks.</x:v>
      </x:c>
      <x:c r="K16" s="10" t="str">
        <x:v>https://www.cosrx.com/collections/award-winning/products/the-niacinamide-15-serum-%EB%B2%88%EB%93%A4</x:v>
      </x:c>
      <x:c r="L16" s="10" t="str">
        <x:v>https://www.cosrx.com/collections/award-winning/products/the-niacinamide-15-serum-%EB%B2%88%EB%93%A4</x:v>
      </x:c>
      <x:c r="M16" s="10" t="str">
        <x:v>https://www.cosrx.com/collections/award-winning/products/the-niacinamide-15-serum-%EB%B2%88%EB%93%A4</x:v>
      </x:c>
      <x:c r="N16" s="10" t="str">
        <x:v>Brand official store, United States (USD), listed single-unit price; excludes tax and shipping</x:v>
      </x:c>
      <x:c r="O16" s="24" t="n">
        <x:v>46300.5</x:v>
      </x:c>
      <x:c r="P16" s="27" t="str"/>
      <x:c r="Q16" s="27" t="str"/>
      <x:c r="R16" s="27" t="str"/>
      <x:c r="S16" s="40" t="str"/>
      <x:c r="T16" s="27" t="str"/>
      <x:c r="U16" s="27" t="str"/>
      <x:c r="V16" s="27" t="str"/>
      <x:c r="W16" s="27" t="str"/>
      <x:c r="X16" s="27" t="str">
        <x:v>Not assessed</x:v>
      </x:c>
      <x:c r="Y16" s="27" t="str"/>
    </x:row>
    <x:row r="17" ht="36" hidden="0" customHeight="1">
      <x:c r="A17" s="19" t="n">
        <x:v>11</x:v>
      </x:c>
      <x:c r="B17" s="9" t="str">
        <x:v>COSRX</x:v>
      </x:c>
      <x:c r="C17" s="9" t="str">
        <x:v>Advanced Snail 92 All in One Cream</x:v>
      </x:c>
      <x:c r="D17" s="9" t="str">
        <x:v>Moisturizer</x:v>
      </x:c>
      <x:c r="E17" s="9" t="str">
        <x:v>100 g / 3.52 oz (jar)</x:v>
      </x:c>
      <x:c r="F17" s="17" t="n">
        <x:v>26</x:v>
      </x:c>
      <x:c r="G17" s="9" t="str">
        <x:f>IF(F17&lt;=15,"Budget",IF(F17&lt;=30,"Mid-range","Premium"))</x:f>
        <x:v>Mid-range</x:v>
      </x:c>
      <x:c r="H17" s="9" t="str">
        <x:v>Snail secretion filtrate 92%; Betaine; Sodium hyaluronate; Panthenol</x:v>
      </x:c>
      <x:c r="I17" s="9" t="str">
        <x:v>Inferred: normal, dry or dehydrated skin seeking a lightweight gel-cream with a dewy finish; customers comfortable with snail-derived ingredients.</x:v>
      </x:c>
      <x:c r="J17" s="9" t="str">
        <x:v>Moisturizes and softens skin, supports the moisture barrier and helps improve the look of rough texture.</x:v>
      </x:c>
      <x:c r="K17" s="9" t="str">
        <x:v>https://www.cosrx.com/products/advanced-snail-92-all-in-one-cream</x:v>
      </x:c>
      <x:c r="L17" s="9" t="str">
        <x:v>https://www.cosrx.com/products/advanced-snail-92-all-in-one-cream</x:v>
      </x:c>
      <x:c r="M17" s="9" t="str">
        <x:v>https://www.cosrx.com/products/advanced-snail-92-all-in-one-cream</x:v>
      </x:c>
      <x:c r="N17" s="9" t="str">
        <x:v>Brand official store, United States (USD), regular listed price for selected 100 g jar; excludes tax and shipping</x:v>
      </x:c>
      <x:c r="O17" s="23" t="n">
        <x:v>46300.5</x:v>
      </x:c>
      <x:c r="P17" s="26" t="str"/>
      <x:c r="Q17" s="26" t="str"/>
      <x:c r="R17" s="26" t="str"/>
      <x:c r="S17" s="39" t="str"/>
      <x:c r="T17" s="26" t="str"/>
      <x:c r="U17" s="26" t="str"/>
      <x:c r="V17" s="26" t="str"/>
      <x:c r="W17" s="26" t="str"/>
      <x:c r="X17" s="26" t="str">
        <x:v>Not assessed</x:v>
      </x:c>
      <x:c r="Y17" s="26" t="str"/>
    </x:row>
    <x:row r="18" ht="48" hidden="0" customHeight="1">
      <x:c r="A18" s="20" t="n">
        <x:v>12</x:v>
      </x:c>
      <x:c r="B18" s="10" t="str">
        <x:v>COSRX</x:v>
      </x:c>
      <x:c r="C18" s="10" t="str">
        <x:v>Advanced Snail Peptide Eye Cream</x:v>
      </x:c>
      <x:c r="D18" s="10" t="str">
        <x:v>Eye cream</x:v>
      </x:c>
      <x:c r="E18" s="10" t="str">
        <x:v>25 ml / 0.85 fl oz</x:v>
      </x:c>
      <x:c r="F18" s="18" t="n">
        <x:v>28</x:v>
      </x:c>
      <x:c r="G18" s="10" t="str">
        <x:f>IF(F18&lt;=15,"Budget",IF(F18&lt;=30,"Mid-range","Premium"))</x:f>
        <x:v>Mid-range</x:v>
      </x:c>
      <x:c r="H18" s="10" t="str">
        <x:v>Snail secretion filtrate 73.6%; Niacinamide; Five-peptide blend; Sodium hyaluronate</x:v>
      </x:c>
      <x:c r="I18" s="10" t="str">
        <x:v>Inferred: adults with dehydrated or dull-looking under-eyes and visible fine lines who prefer a light eye cream and are comfortable with snail-derived ingredients.</x:v>
      </x:c>
      <x:c r="J18" s="10" t="str">
        <x:v>Hydrates the eye area and helps under-eyes look brighter, smoother and firmer.</x:v>
      </x:c>
      <x:c r="K18" s="10" t="str">
        <x:v>https://www.cosrx.com/products/advanced-snail-peptide-eye-cream</x:v>
      </x:c>
      <x:c r="L18" s="10" t="str">
        <x:v>https://www.cosrx.com/products/advanced-snail-peptide-eye-cream</x:v>
      </x:c>
      <x:c r="M18" s="10" t="str">
        <x:v>https://www.cosrx.com/products/advanced-snail-peptide-eye-cream</x:v>
      </x:c>
      <x:c r="N18" s="10" t="str">
        <x:v>Brand official store, United States (USD), regular listed price; excludes tax and shipping</x:v>
      </x:c>
      <x:c r="O18" s="24" t="n">
        <x:v>46300.5</x:v>
      </x:c>
      <x:c r="P18" s="27" t="str"/>
      <x:c r="Q18" s="27" t="str"/>
      <x:c r="R18" s="27" t="str"/>
      <x:c r="S18" s="40" t="str"/>
      <x:c r="T18" s="27" t="str"/>
      <x:c r="U18" s="27" t="str"/>
      <x:c r="V18" s="27" t="str"/>
      <x:c r="W18" s="27" t="str"/>
      <x:c r="X18" s="27" t="str">
        <x:v>Not assessed</x:v>
      </x:c>
      <x:c r="Y18" s="27" t="str"/>
    </x:row>
    <x:row r="19" ht="24" hidden="0" customHeight="1">
      <x:c r="A19" s="19" t="n">
        <x:v>13</x:v>
      </x:c>
      <x:c r="B19" s="9" t="str">
        <x:v>SKIN1004</x:v>
      </x:c>
      <x:c r="C19" s="9" t="str">
        <x:v>Madagascar Centella Light Cleansing Oil</x:v>
      </x:c>
      <x:c r="D19" s="9" t="str">
        <x:v>Cleansing oil</x:v>
      </x:c>
      <x:c r="E19" s="9" t="str">
        <x:v>200 ml / 6.76 fl oz</x:v>
      </x:c>
      <x:c r="F19" s="17" t="n">
        <x:v>25</x:v>
      </x:c>
      <x:c r="G19" s="9" t="str">
        <x:f>IF(F19&lt;=15,"Budget",IF(F19&lt;=30,"Mid-range","Premium"))</x:f>
        <x:v>Mid-range</x:v>
      </x:c>
      <x:c r="H19" s="9" t="str">
        <x:v>Centella asiatica extract; Jojoba seed oil; Sunflower seed oil; Olive fruit oil</x:v>
      </x:c>
      <x:c r="I19" s="9" t="str">
        <x:v>Normal, dry or combination skin; makeup and sunscreen wearers who enjoy a light oil cleanser.</x:v>
      </x:c>
      <x:c r="J19" s="9" t="str">
        <x:v>Dissolves makeup, sunscreen and excess surface oil while leaving skin feeling clean and comfortable.</x:v>
      </x:c>
      <x:c r="K19" s="9" t="str">
        <x:v>https://www.skin1004.com/products/skin1004-madagascar-centella-light-cleansing-oil</x:v>
      </x:c>
      <x:c r="L19" s="9" t="str">
        <x:v>https://www.skin1004.com/products/skin1004-madagascar-centella-light-cleansing-oil</x:v>
      </x:c>
      <x:c r="M19" s="9" t="str">
        <x:v>https://www.ulta.com/p/madagascar-centella-light-cleansing-oil-pimprod2045884</x:v>
      </x:c>
      <x:c r="N19" s="9" t="str">
        <x:v>Ulta U.S. regular one-time price; excludes subscription savings, tax and shipping.</x:v>
      </x:c>
      <x:c r="O19" s="23" t="n">
        <x:v>46300.5</x:v>
      </x:c>
      <x:c r="P19" s="26" t="str"/>
      <x:c r="Q19" s="26" t="str"/>
      <x:c r="R19" s="26" t="str"/>
      <x:c r="S19" s="39" t="str"/>
      <x:c r="T19" s="26" t="str"/>
      <x:c r="U19" s="26" t="str"/>
      <x:c r="V19" s="26" t="str"/>
      <x:c r="W19" s="26" t="str"/>
      <x:c r="X19" s="26" t="str">
        <x:v>Not assessed</x:v>
      </x:c>
      <x:c r="Y19" s="26" t="str"/>
    </x:row>
    <x:row r="20" ht="36" hidden="0" customHeight="1">
      <x:c r="A20" s="20" t="n">
        <x:v>14</x:v>
      </x:c>
      <x:c r="B20" s="10" t="str">
        <x:v>SKIN1004</x:v>
      </x:c>
      <x:c r="C20" s="10" t="str">
        <x:v>Madagascar Centella Ampoule</x:v>
      </x:c>
      <x:c r="D20" s="10" t="str">
        <x:v>Serum / ampoule</x:v>
      </x:c>
      <x:c r="E20" s="10" t="str">
        <x:v>100 ml / 3.38 fl oz</x:v>
      </x:c>
      <x:c r="F20" s="18" t="n">
        <x:v>25</x:v>
      </x:c>
      <x:c r="G20" s="10" t="str">
        <x:f>IF(F20&lt;=15,"Budget",IF(F20&lt;=30,"Mid-range","Premium"))</x:f>
        <x:v>Mid-range</x:v>
      </x:c>
      <x:c r="H20" s="10" t="str">
        <x:v>Centella asiatica extract; Glycerin; Butylene glycol</x:v>
      </x:c>
      <x:c r="I20" s="10" t="str">
        <x:v>Normal, dry or combination skin seeking a lightweight, simple hydrating layer and comfort for sensitive-feeling skin.</x:v>
      </x:c>
      <x:c r="J20" s="10" t="str">
        <x:v>Hydrates and helps soothe visible redness and skin discomfort, with a light, non-sticky finish.</x:v>
      </x:c>
      <x:c r="K20" s="10" t="str">
        <x:v>https://www.skin1004.com/products/skin1004-madagascar-centella-ampoule</x:v>
      </x:c>
      <x:c r="L20" s="10" t="str">
        <x:v>https://www.skin1004.com/products/skin1004-madagascar-centella-ampoule</x:v>
      </x:c>
      <x:c r="M20" s="10" t="str">
        <x:v>https://www.ulta.com/p/madagascar-centella-ampoule-pimprod2045880?sku=2626854</x:v>
      </x:c>
      <x:c r="N20" s="10" t="str">
        <x:v>Ulta U.S. regular one-time price; excludes subscription savings, tax and shipping.</x:v>
      </x:c>
      <x:c r="O20" s="24" t="n">
        <x:v>46300.5</x:v>
      </x:c>
      <x:c r="P20" s="27" t="str"/>
      <x:c r="Q20" s="27" t="str"/>
      <x:c r="R20" s="27" t="str"/>
      <x:c r="S20" s="40" t="str"/>
      <x:c r="T20" s="27" t="str"/>
      <x:c r="U20" s="27" t="str"/>
      <x:c r="V20" s="27" t="str"/>
      <x:c r="W20" s="27" t="str"/>
      <x:c r="X20" s="27" t="str">
        <x:v>Not assessed</x:v>
      </x:c>
      <x:c r="Y20" s="27" t="str"/>
    </x:row>
    <x:row r="21" ht="36" hidden="0" customHeight="1">
      <x:c r="A21" s="19" t="n">
        <x:v>15</x:v>
      </x:c>
      <x:c r="B21" s="9" t="str">
        <x:v>SKIN1004</x:v>
      </x:c>
      <x:c r="C21" s="9" t="str">
        <x:v>Madagascar Centella Toning Toner</x:v>
      </x:c>
      <x:c r="D21" s="9" t="str">
        <x:v>Exfoliating toner</x:v>
      </x:c>
      <x:c r="E21" s="9" t="str">
        <x:v>210 ml / 7.1 fl oz</x:v>
      </x:c>
      <x:c r="F21" s="17" t="n">
        <x:v>25</x:v>
      </x:c>
      <x:c r="G21" s="9" t="str">
        <x:f>IF(F21&lt;=15,"Budget",IF(F21&lt;=30,"Mid-range","Premium"))</x:f>
        <x:v>Mid-range</x:v>
      </x:c>
      <x:c r="H21" s="9" t="str">
        <x:v>Centella asiatica extract; Gluconolactone (PHA); Betaine; Niacinamide</x:v>
      </x:c>
      <x:c r="I21" s="9" t="str">
        <x:v>Normal or combination skin with rough texture; customers preferring mild exfoliation in a watery toner.</x:v>
      </x:c>
      <x:c r="J21" s="9" t="str">
        <x:v>Gently exfoliates surface dead skin and helps hydrate and smooth uneven-looking texture.</x:v>
      </x:c>
      <x:c r="K21" s="9" t="str">
        <x:v>https://www.skin1004.com/products/skin1004-madagascar-centella-toning-toner</x:v>
      </x:c>
      <x:c r="L21" s="9" t="str">
        <x:v>https://www.skin1004.com/products/skin1004-madagascar-centella-toning-toner</x:v>
      </x:c>
      <x:c r="M21" s="9" t="str">
        <x:v>https://www.ulta.com/p/madagascar-centella-toning-toner-pimprod2053563?sku=2640966</x:v>
      </x:c>
      <x:c r="N21" s="9" t="str">
        <x:v>Ulta U.S. regular one-time price; excludes subscription savings, tax and shipping.</x:v>
      </x:c>
      <x:c r="O21" s="23" t="n">
        <x:v>46300.5</x:v>
      </x:c>
      <x:c r="P21" s="26" t="str"/>
      <x:c r="Q21" s="26" t="str"/>
      <x:c r="R21" s="26" t="str"/>
      <x:c r="S21" s="39" t="str"/>
      <x:c r="T21" s="26" t="str"/>
      <x:c r="U21" s="26" t="str"/>
      <x:c r="V21" s="26" t="str"/>
      <x:c r="W21" s="26" t="str"/>
      <x:c r="X21" s="26" t="str">
        <x:v>Not assessed</x:v>
      </x:c>
      <x:c r="Y21" s="26" t="str"/>
    </x:row>
    <x:row r="22" ht="36" hidden="0" customHeight="1">
      <x:c r="A22" s="20" t="n">
        <x:v>16</x:v>
      </x:c>
      <x:c r="B22" s="10" t="str">
        <x:v>Anua</x:v>
      </x:c>
      <x:c r="C22" s="10" t="str">
        <x:v>Heartleaf 77 Soothing Toner</x:v>
      </x:c>
      <x:c r="D22" s="10" t="str">
        <x:v>Hydrating toner</x:v>
      </x:c>
      <x:c r="E22" s="10" t="str">
        <x:v>250 ml</x:v>
      </x:c>
      <x:c r="F22" s="18" t="n">
        <x:v>23</x:v>
      </x:c>
      <x:c r="G22" s="10" t="str">
        <x:f>IF(F22&lt;=15,"Budget",IF(F22&lt;=30,"Mid-range","Premium"))</x:f>
        <x:v>Mid-range</x:v>
      </x:c>
      <x:c r="H22" s="10" t="str">
        <x:v>Heartleaf flower/leaf/stem water (brand describes formula as 77% heartleaf); Panthenol; Betaine; Hyaluronic acid forms</x:v>
      </x:c>
      <x:c r="I22" s="10" t="str">
        <x:v>Sensitive-feeling or dehydrated skin seeking fragrance-free, lightweight hydration.</x:v>
      </x:c>
      <x:c r="J22" s="10" t="str">
        <x:v>Hydrates and helps reduce the look of temporary redness while leaving a fresh, dewy feel.</x:v>
      </x:c>
      <x:c r="K22" s="10" t="str">
        <x:v>https://anua.com/products/heartleaf-77-soothing-toner</x:v>
      </x:c>
      <x:c r="L22" s="10" t="str">
        <x:v>https://anua.com/products/heartleaf-77-soothing-toner</x:v>
      </x:c>
      <x:c r="M22" s="10" t="str">
        <x:v>https://anua.com/products/heartleaf-77-soothing-toner</x:v>
      </x:c>
      <x:c r="N22" s="10" t="str">
        <x:v>Anua U.S. displayed one-time price; labeled 'Sale price' but no higher reference price shown. Excludes tax and shipping.</x:v>
      </x:c>
      <x:c r="O22" s="24" t="n">
        <x:v>46300.5</x:v>
      </x:c>
      <x:c r="P22" s="27" t="str"/>
      <x:c r="Q22" s="27" t="str"/>
      <x:c r="R22" s="27" t="str"/>
      <x:c r="S22" s="40" t="str"/>
      <x:c r="T22" s="27" t="str"/>
      <x:c r="U22" s="27" t="str"/>
      <x:c r="V22" s="27" t="str"/>
      <x:c r="W22" s="27" t="str"/>
      <x:c r="X22" s="27" t="str">
        <x:v>Not assessed</x:v>
      </x:c>
      <x:c r="Y22" s="27" t="str"/>
    </x:row>
    <x:row r="23" ht="36" hidden="0" customHeight="1">
      <x:c r="A23" s="19" t="n">
        <x:v>17</x:v>
      </x:c>
      <x:c r="B23" s="9" t="str">
        <x:v>Anua</x:v>
      </x:c>
      <x:c r="C23" s="9" t="str">
        <x:v>Heartleaf Pore Control Cleansing Oil</x:v>
      </x:c>
      <x:c r="D23" s="9" t="str">
        <x:v>Cleansing oil</x:v>
      </x:c>
      <x:c r="E23" s="9" t="str">
        <x:v>200 ml / 6.76 fl oz</x:v>
      </x:c>
      <x:c r="F23" s="17" t="n">
        <x:v>22</x:v>
      </x:c>
      <x:c r="G23" s="9" t="str">
        <x:f>IF(F23&lt;=15,"Budget",IF(F23&lt;=30,"Mid-range","Premium"))</x:f>
        <x:v>Mid-range</x:v>
      </x:c>
      <x:c r="H23" s="9" t="str">
        <x:v>Ethylhexyl palmitate; Heartleaf extract; Jojoba seed oil; Grape seed oil</x:v>
      </x:c>
      <x:c r="I23" s="9" t="str">
        <x:v>Normal or combination skin; makeup and sunscreen wearers seeking an emulsifying first cleanse.</x:v>
      </x:c>
      <x:c r="J23" s="9" t="str">
        <x:v>Removes makeup, sunscreen, impurities and excess surface oil for a clean, smooth skin feel.</x:v>
      </x:c>
      <x:c r="K23" s="9" t="str">
        <x:v>https://anua.com/products/heartleaf-pore-control-cleansing-oil-200ml</x:v>
      </x:c>
      <x:c r="L23" s="9" t="str">
        <x:v>https://anua.com/products/heartleaf-pore-control-cleansing-oil-200ml</x:v>
      </x:c>
      <x:c r="M23" s="9" t="str">
        <x:v>https://anua.com/products/heartleaf-pore-control-cleansing-oil-200ml</x:v>
      </x:c>
      <x:c r="N23" s="9" t="str">
        <x:v>Anua U.S. displayed one-time price; labeled 'Sale price' but no higher reference price shown. Excludes tax and shipping.</x:v>
      </x:c>
      <x:c r="O23" s="23" t="n">
        <x:v>46300.5</x:v>
      </x:c>
      <x:c r="P23" s="26" t="str"/>
      <x:c r="Q23" s="26" t="str"/>
      <x:c r="R23" s="26" t="str"/>
      <x:c r="S23" s="39" t="str"/>
      <x:c r="T23" s="26" t="str"/>
      <x:c r="U23" s="26" t="str"/>
      <x:c r="V23" s="26" t="str"/>
      <x:c r="W23" s="26" t="str"/>
      <x:c r="X23" s="26" t="str">
        <x:v>Not assessed</x:v>
      </x:c>
      <x:c r="Y23" s="26" t="str"/>
    </x:row>
    <x:row r="24" ht="36" hidden="0" customHeight="1">
      <x:c r="A24" s="20" t="n">
        <x:v>18</x:v>
      </x:c>
      <x:c r="B24" s="10" t="str">
        <x:v>Anua</x:v>
      </x:c>
      <x:c r="C24" s="10" t="str">
        <x:v>Niacinamide 10 TXA 4 Serum for Brightening and Dark Spots</x:v>
      </x:c>
      <x:c r="D24" s="10" t="str">
        <x:v>Brightening serum</x:v>
      </x:c>
      <x:c r="E24" s="10" t="str">
        <x:v>30 ml / 1.01 fl oz</x:v>
      </x:c>
      <x:c r="F24" s="18" t="n">
        <x:v>24</x:v>
      </x:c>
      <x:c r="G24" s="10" t="str">
        <x:f>IF(F24&lt;=15,"Budget",IF(F24&lt;=30,"Mid-range","Premium"))</x:f>
        <x:v>Mid-range</x:v>
      </x:c>
      <x:c r="H24" s="10" t="str">
        <x:v>Niacinamide 10%; Tranexamic acid 4%; Arbutin 2% (brand stated); Hyaluronic acid; Ceramide NP</x:v>
      </x:c>
      <x:c r="I24" s="10" t="str">
        <x:v>Normal or combination skin with dullness, uneven-looking tone or lingering post-blemish marks; customers comfortable with a concentrated serum.</x:v>
      </x:c>
      <x:c r="J24" s="10" t="str">
        <x:v>Helps brighten uneven-looking tone and reduce the appearance of dark spots while providing hydration.</x:v>
      </x:c>
      <x:c r="K24" s="10" t="str">
        <x:v>https://anua.com/products/niacinamide-10-txa-4-serum-2</x:v>
      </x:c>
      <x:c r="L24" s="10" t="str">
        <x:v>https://anua.com/products/niacinamide-10-txa-4-serum-2</x:v>
      </x:c>
      <x:c r="M24" s="10" t="str">
        <x:v>https://anua.com/products/niacinamide-10-txa-4-serum-2</x:v>
      </x:c>
      <x:c r="N24" s="10" t="str">
        <x:v>Anua U.S. displayed one-time price; labeled 'Sale price' but no higher reference price shown. Excludes tax and shipping.</x:v>
      </x:c>
      <x:c r="O24" s="24" t="n">
        <x:v>46300.5</x:v>
      </x:c>
      <x:c r="P24" s="27" t="str"/>
      <x:c r="Q24" s="27" t="str"/>
      <x:c r="R24" s="27" t="str"/>
      <x:c r="S24" s="40" t="str"/>
      <x:c r="T24" s="27" t="str"/>
      <x:c r="U24" s="27" t="str"/>
      <x:c r="V24" s="27" t="str"/>
      <x:c r="W24" s="27" t="str"/>
      <x:c r="X24" s="27" t="str">
        <x:v>Not assessed</x:v>
      </x:c>
      <x:c r="Y24" s="27" t="str"/>
    </x:row>
    <x:row r="25" ht="36" hidden="0" customHeight="1">
      <x:c r="A25" s="19" t="n">
        <x:v>19</x:v>
      </x:c>
      <x:c r="B25" s="9" t="str">
        <x:v>Round Lab</x:v>
      </x:c>
      <x:c r="C25" s="9" t="str">
        <x:v>1025 Dokdo Toner</x:v>
      </x:c>
      <x:c r="D25" s="9" t="str">
        <x:v>Hydrating toner</x:v>
      </x:c>
      <x:c r="E25" s="9" t="str">
        <x:v>200 ml / 6.76 fl oz</x:v>
      </x:c>
      <x:c r="F25" s="17" t="n">
        <x:v>16.99</x:v>
      </x:c>
      <x:c r="G25" s="9" t="str">
        <x:f>IF(F25&lt;=15,"Budget",IF(F25&lt;=30,"Mid-range","Premium"))</x:f>
        <x:v>Mid-range</x:v>
      </x:c>
      <x:c r="H25" s="9" t="str">
        <x:v>Sea water; Panthenol; Allantoin; Betaine; Protease</x:v>
      </x:c>
      <x:c r="I25" s="9" t="str">
        <x:v>Normal, combination or sensitive-feeling skin preferring an unscented, water-light toner and mild surface smoothing.</x:v>
      </x:c>
      <x:c r="J25" s="9" t="str">
        <x:v>Hydrates, comforts dryness and helps gently smooth surface texture without a sticky finish.</x:v>
      </x:c>
      <x:c r="K25" s="9" t="str">
        <x:v>https://roundlab.com/products/1025-dokdo-toner</x:v>
      </x:c>
      <x:c r="L25" s="9" t="str">
        <x:v>https://roundlab.com/products/1025-dokdo-toner</x:v>
      </x:c>
      <x:c r="M25" s="9" t="str">
        <x:v>https://www.ulta.com/p/1025-dokdo-toner-pimprod2052236</x:v>
      </x:c>
      <x:c r="N25" s="9" t="str">
        <x:v>Ulta U.S. regular listed price; $11.89 promotional price excluded. Excludes tax and shipping.</x:v>
      </x:c>
      <x:c r="O25" s="23" t="n">
        <x:v>46300.5</x:v>
      </x:c>
      <x:c r="P25" s="26" t="str"/>
      <x:c r="Q25" s="26" t="str"/>
      <x:c r="R25" s="26" t="str"/>
      <x:c r="S25" s="39" t="str"/>
      <x:c r="T25" s="26" t="str"/>
      <x:c r="U25" s="26" t="str"/>
      <x:c r="V25" s="26" t="str"/>
      <x:c r="W25" s="26" t="str"/>
      <x:c r="X25" s="26" t="str">
        <x:v>Not assessed</x:v>
      </x:c>
      <x:c r="Y25" s="26" t="str"/>
    </x:row>
    <x:row r="26" ht="24" hidden="0" customHeight="1">
      <x:c r="A26" s="20" t="n">
        <x:v>20</x:v>
      </x:c>
      <x:c r="B26" s="10" t="str">
        <x:v>Round Lab</x:v>
      </x:c>
      <x:c r="C26" s="10" t="str">
        <x:v>Birch Moisturizing Intensive Cream</x:v>
      </x:c>
      <x:c r="D26" s="10" t="str">
        <x:v>Moisturizer</x:v>
      </x:c>
      <x:c r="E26" s="10" t="str">
        <x:v>50 ml</x:v>
      </x:c>
      <x:c r="F26" s="18" t="n">
        <x:v>40</x:v>
      </x:c>
      <x:c r="G26" s="10" t="str">
        <x:f>IF(F26&lt;=15,"Budget",IF(F26&lt;=30,"Mid-range","Premium"))</x:f>
        <x:v>Premium</x:v>
      </x:c>
      <x:c r="H26" s="10" t="str">
        <x:v>Birch sap; Ectoin; Sodium hyaluronate crosspolymer; Ceramide NP; Cholesterol; Squalane</x:v>
      </x:c>
      <x:c r="I26" s="10" t="str">
        <x:v>Dry, dehydrated or tight-feeling skin; customers wanting a rich cream in cold or dry climates.</x:v>
      </x:c>
      <x:c r="J26" s="10" t="str">
        <x:v>Provides lasting hydration, softens rough-feeling skin and supports the skin's moisture barrier.</x:v>
      </x:c>
      <x:c r="K26" s="10" t="str">
        <x:v>https://roundlab.com/products/birch-moisturizing-intensive-cream</x:v>
      </x:c>
      <x:c r="L26" s="10" t="str">
        <x:v>https://roundlab.com/products/birch-moisturizing-intensive-cream</x:v>
      </x:c>
      <x:c r="M26" s="10" t="str">
        <x:v>https://roundlab.com/products/birch-moisturizing-intensive-cream</x:v>
      </x:c>
      <x:c r="N26" s="10" t="str">
        <x:v>Official Round Lab U.S. regular one-time price; excludes tax and shipping.</x:v>
      </x:c>
      <x:c r="O26" s="24" t="n">
        <x:v>46300.5</x:v>
      </x:c>
      <x:c r="P26" s="27" t="str"/>
      <x:c r="Q26" s="27" t="str"/>
      <x:c r="R26" s="27" t="str"/>
      <x:c r="S26" s="40" t="str"/>
      <x:c r="T26" s="27" t="str"/>
      <x:c r="U26" s="27" t="str"/>
      <x:c r="V26" s="27" t="str"/>
      <x:c r="W26" s="27" t="str"/>
      <x:c r="X26" s="27" t="str">
        <x:v>Not assessed</x:v>
      </x:c>
      <x:c r="Y26" s="27" t="str"/>
    </x:row>
    <x:row r="27" ht="36" hidden="0" customHeight="1">
      <x:c r="A27" s="19" t="n">
        <x:v>21</x:v>
      </x:c>
      <x:c r="B27" s="9" t="str">
        <x:v>Round Lab</x:v>
      </x:c>
      <x:c r="C27" s="9" t="str">
        <x:v>Birch Moisturizing Sunscreen UVLock SPF 45 Broad Spectrum (U.S. formula)</x:v>
      </x:c>
      <x:c r="D27" s="9" t="str">
        <x:v>Sunscreen</x:v>
      </x:c>
      <x:c r="E27" s="9" t="str">
        <x:v>50 ml / 1.69 fl oz</x:v>
      </x:c>
      <x:c r="F27" s="17" t="n">
        <x:v>24.99</x:v>
      </x:c>
      <x:c r="G27" s="9" t="str">
        <x:f>IF(F27&lt;=15,"Budget",IF(F27&lt;=30,"Mid-range","Premium"))</x:f>
        <x:v>Mid-range</x:v>
      </x:c>
      <x:c r="H27" s="9" t="str">
        <x:v>Avobenzone; Homosalate; Octisalate; Birch sap; Niacinamide; Hyaluronic acid</x:v>
      </x:c>
      <x:c r="I27" s="9" t="str">
        <x:v>Normal, dry or combination skin seeking moisturizing daily broad-spectrum protection with a dewy finish.</x:v>
      </x:c>
      <x:c r="J27" s="9" t="str">
        <x:v>Provides SPF 45 broad-spectrum sun protection while moisturizing skin and preparing a smooth base for makeup.</x:v>
      </x:c>
      <x:c r="K27" s="9" t="str">
        <x:v>https://roundlab.com/products/birch-moisturizing-uv-sunscreen</x:v>
      </x:c>
      <x:c r="L27" s="9" t="str">
        <x:v>https://roundlab.com/products/birch-moisturizing-uv-sunscreen</x:v>
      </x:c>
      <x:c r="M27" s="9" t="str">
        <x:v>https://roundlab.com/products/birch-moisturizing-uv-sunscreen</x:v>
      </x:c>
      <x:c r="N27" s="9" t="str">
        <x:v>Official Round Lab U.S. regular one-time price; excludes tax and shipping.</x:v>
      </x:c>
      <x:c r="O27" s="23" t="n">
        <x:v>46300.5</x:v>
      </x:c>
      <x:c r="P27" s="26" t="str"/>
      <x:c r="Q27" s="26" t="str"/>
      <x:c r="R27" s="26" t="str"/>
      <x:c r="S27" s="39" t="str"/>
      <x:c r="T27" s="26" t="str"/>
      <x:c r="U27" s="26" t="str"/>
      <x:c r="V27" s="26" t="str"/>
      <x:c r="W27" s="26" t="str"/>
      <x:c r="X27" s="26" t="str">
        <x:v>Not assessed</x:v>
      </x:c>
      <x:c r="Y27" s="26" t="str"/>
    </x:row>
    <x:row r="28" ht="36" hidden="0" customHeight="1">
      <x:c r="A28" s="20" t="n">
        <x:v>22</x:v>
      </x:c>
      <x:c r="B28" s="10" t="str">
        <x:v>Torriden</x:v>
      </x:c>
      <x:c r="C28" s="10" t="str">
        <x:v>DIVE IN Serum</x:v>
      </x:c>
      <x:c r="D28" s="10" t="str">
        <x:v>Hydrating serum</x:v>
      </x:c>
      <x:c r="E28" s="10" t="str">
        <x:v>50 ml / 1.69 fl oz</x:v>
      </x:c>
      <x:c r="F28" s="18" t="n">
        <x:v>24</x:v>
      </x:c>
      <x:c r="G28" s="10" t="str">
        <x:f>IF(F28&lt;=15,"Budget",IF(F28&lt;=30,"Mid-range","Premium"))</x:f>
        <x:v>Mid-range</x:v>
      </x:c>
      <x:c r="H28" s="10" t="str">
        <x:v>Five hyaluronic acid forms; Panthenol; Allantoin; Glycerin</x:v>
      </x:c>
      <x:c r="I28" s="10" t="str">
        <x:v>Normal, combination or dry skin with dehydration; customers wanting a light, non-sticky hydration layer.</x:v>
      </x:c>
      <x:c r="J28" s="10" t="str">
        <x:v>Boosts hydration and leaves skin looking plumper and feeling comfortable without a heavy finish.</x:v>
      </x:c>
      <x:c r="K28" s="10" t="str">
        <x:v>https://torriden.us/products/dive-in-serum</x:v>
      </x:c>
      <x:c r="L28" s="10" t="str">
        <x:v>https://torriden.us/products/dive-in-serum</x:v>
      </x:c>
      <x:c r="M28" s="10" t="str">
        <x:v>https://torriden.us/products/dive-in-serum</x:v>
      </x:c>
      <x:c r="N28" s="10" t="str">
        <x:v>Official Torriden U.S. regular single, one-time purchase price; subscription and duo pricing excluded. Excludes tax and shipping.</x:v>
      </x:c>
      <x:c r="O28" s="24" t="n">
        <x:v>46300.5</x:v>
      </x:c>
      <x:c r="P28" s="27" t="str"/>
      <x:c r="Q28" s="27" t="str"/>
      <x:c r="R28" s="27" t="str"/>
      <x:c r="S28" s="40" t="str"/>
      <x:c r="T28" s="27" t="str"/>
      <x:c r="U28" s="27" t="str"/>
      <x:c r="V28" s="27" t="str"/>
      <x:c r="W28" s="27" t="str"/>
      <x:c r="X28" s="27" t="str">
        <x:v>Not assessed</x:v>
      </x:c>
      <x:c r="Y28" s="27" t="str"/>
    </x:row>
    <x:row r="29" ht="36" hidden="0" customHeight="1">
      <x:c r="A29" s="19" t="n">
        <x:v>23</x:v>
      </x:c>
      <x:c r="B29" s="9" t="str">
        <x:v>Torriden</x:v>
      </x:c>
      <x:c r="C29" s="9" t="str">
        <x:v>DIVE IN Soothing Cream</x:v>
      </x:c>
      <x:c r="D29" s="9" t="str">
        <x:v>Gel moisturizer</x:v>
      </x:c>
      <x:c r="E29" s="9" t="str">
        <x:v>100 ml / 3.38 fl oz</x:v>
      </x:c>
      <x:c r="F29" s="17" t="n">
        <x:v>27</x:v>
      </x:c>
      <x:c r="G29" s="9" t="str">
        <x:f>IF(F29&lt;=15,"Budget",IF(F29&lt;=30,"Mid-range","Premium"))</x:f>
        <x:v>Mid-range</x:v>
      </x:c>
      <x:c r="H29" s="9" t="str">
        <x:v>Five hyaluronic acid forms; Panthenol; Allantoin; Glycerin</x:v>
      </x:c>
      <x:c r="I29" s="9" t="str">
        <x:v>Normal or combination skin, including dehydrated skin; customers preferring a fresh gel cream over a rich moisturizer.</x:v>
      </x:c>
      <x:c r="J29" s="9" t="str">
        <x:v>Provides lightweight hydration and comforts heat-related redness and tight-feeling skin with a cooling, dewy finish.</x:v>
      </x:c>
      <x:c r="K29" s="9" t="str">
        <x:v>https://torriden.us/products/dive-in-soothing-cream</x:v>
      </x:c>
      <x:c r="L29" s="9" t="str">
        <x:v>https://torriden.us/products/dive-in-soothing-cream</x:v>
      </x:c>
      <x:c r="M29" s="9" t="str">
        <x:v>https://torriden.us/products/dive-in-soothing-cream</x:v>
      </x:c>
      <x:c r="N29" s="9" t="str">
        <x:v>Official Torriden U.S. one-time purchase price for single jar; subscription pricing excluded. Excludes tax and shipping.</x:v>
      </x:c>
      <x:c r="O29" s="23" t="n">
        <x:v>46300.5</x:v>
      </x:c>
      <x:c r="P29" s="26" t="str"/>
      <x:c r="Q29" s="26" t="str"/>
      <x:c r="R29" s="26" t="str"/>
      <x:c r="S29" s="39" t="str"/>
      <x:c r="T29" s="26" t="str"/>
      <x:c r="U29" s="26" t="str"/>
      <x:c r="V29" s="26" t="str"/>
      <x:c r="W29" s="26" t="str"/>
      <x:c r="X29" s="26" t="str">
        <x:v>Not assessed</x:v>
      </x:c>
      <x:c r="Y29" s="26" t="str"/>
    </x:row>
    <x:row r="30" ht="36" hidden="0" customHeight="1">
      <x:c r="A30" s="20" t="n">
        <x:v>24</x:v>
      </x:c>
      <x:c r="B30" s="10" t="str">
        <x:v>Dr. Althea</x:v>
      </x:c>
      <x:c r="C30" s="10" t="str">
        <x:v>345 Relief Cream</x:v>
      </x:c>
      <x:c r="D30" s="10" t="str">
        <x:v>Moisturizer</x:v>
      </x:c>
      <x:c r="E30" s="10" t="str">
        <x:v>50 ml / 1.69 fl oz (single)</x:v>
      </x:c>
      <x:c r="F30" s="18" t="n">
        <x:v>27</x:v>
      </x:c>
      <x:c r="G30" s="10" t="str">
        <x:f>IF(F30&lt;=15,"Budget",IF(F30&lt;=30,"Mid-range","Premium"))</x:f>
        <x:v>Mid-range</x:v>
      </x:c>
      <x:c r="H30" s="10" t="str">
        <x:v>Niacinamide; Panthenol; Ceramide NP; Beta-glucan; Madecassoside; Sodium hyaluronate</x:v>
      </x:c>
      <x:c r="I30" s="10" t="str">
        <x:v>Combination, blemish-prone or sensitive-feeling skin with post-breakout dryness, visible redness or rough texture; customers wanting a light cream.</x:v>
      </x:c>
      <x:c r="J30" s="10" t="str">
        <x:v>Hydrates and comforts skin while supporting its moisture barrier and improving the look of uneven post-blemish tone.</x:v>
      </x:c>
      <x:c r="K30" s="10" t="str">
        <x:v>https://doctoraltheaglobal.com/products/345-relief-cream?country=US&amp;currency=USD</x:v>
      </x:c>
      <x:c r="L30" s="10" t="str">
        <x:v>https://doctoraltheaglobal.com/products/345-relief-cream?country=US&amp;currency=USD</x:v>
      </x:c>
      <x:c r="M30" s="10" t="str">
        <x:v>https://doctoraltheaglobal.com/products/345-relief-cream?country=US&amp;currency=USD</x:v>
      </x:c>
      <x:c r="N30" s="10" t="str">
        <x:v>Official Dr. Althea store, United States/USD, one-pack listed price; excludes bundles, tax and shipping.</x:v>
      </x:c>
      <x:c r="O30" s="24" t="n">
        <x:v>46300.5</x:v>
      </x:c>
      <x:c r="P30" s="27" t="str"/>
      <x:c r="Q30" s="27" t="str"/>
      <x:c r="R30" s="27" t="str"/>
      <x:c r="S30" s="40" t="str"/>
      <x:c r="T30" s="27" t="str"/>
      <x:c r="U30" s="27" t="str"/>
      <x:c r="V30" s="27" t="str"/>
      <x:c r="W30" s="27" t="str"/>
      <x:c r="X30" s="27" t="str">
        <x:v>Not assessed</x:v>
      </x:c>
      <x:c r="Y30" s="27" t="str"/>
    </x:row>
    <x:row r="31" ht="24" hidden="0" customHeight="1">
      <x:c r="A31" s="19" t="n">
        <x:v>25</x:v>
      </x:c>
      <x:c r="B31" s="9" t="str">
        <x:v>rom&amp;nd</x:v>
      </x:c>
      <x:c r="C31" s="9" t="str">
        <x:v>The Juicy Lasting Tint</x:v>
      </x:c>
      <x:c r="D31" s="9" t="str">
        <x:v>Lip tint</x:v>
      </x:c>
      <x:c r="E31" s="9" t="str">
        <x:v>3.5 g / 0.12 oz / 03 Bare Grape</x:v>
      </x:c>
      <x:c r="F31" s="17" t="n">
        <x:v>15</x:v>
      </x:c>
      <x:c r="G31" s="9" t="str">
        <x:f>IF(F31&lt;=15,"Budget",IF(F31&lt;=30,"Mid-range","Premium"))</x:f>
        <x:v>Budget</x:v>
      </x:c>
      <x:c r="H31" s="9" t="str">
        <x:v>Octyldodecanol; Trimethylsiloxyphenyl Dimethicone; Acrylates Copolymer; Pentylene Glycol; Alcohol Denat.</x:v>
      </x:c>
      <x:c r="I31" s="9" t="str">
        <x:v>Customers who prefer muted pink-mauve lip color, a glassy finish and lasting color (inferred)</x:v>
      </x:c>
      <x:c r="J31" s="9" t="str">
        <x:v>Adds lasting lip color with a lightweight feel and high-shine, glassy finish.</x:v>
      </x:c>
      <x:c r="K31" s="9" t="str">
        <x:v>https://romandbeauty.com/products/the-juicy-lasting-tint</x:v>
      </x:c>
      <x:c r="L31" s="9" t="str">
        <x:v>https://us.oliveyoung.com/products/UA66355696</x:v>
      </x:c>
      <x:c r="M31" s="9" t="str">
        <x:v>https://romandbeauty.com/products/the-juicy-lasting-tint</x:v>
      </x:c>
      <x:c r="N31" s="9" t="str">
        <x:v>Official brand current USD list price for one tint; tax and shipping excluded</x:v>
      </x:c>
      <x:c r="O31" s="23" t="n">
        <x:v>46300.5</x:v>
      </x:c>
      <x:c r="P31" s="26" t="str"/>
      <x:c r="Q31" s="26" t="str"/>
      <x:c r="R31" s="26" t="str"/>
      <x:c r="S31" s="39" t="str"/>
      <x:c r="T31" s="26" t="str"/>
      <x:c r="U31" s="26" t="str"/>
      <x:c r="V31" s="26" t="str"/>
      <x:c r="W31" s="26" t="str"/>
      <x:c r="X31" s="26" t="str">
        <x:v>Not assessed</x:v>
      </x:c>
      <x:c r="Y31" s="26" t="str"/>
    </x:row>
    <x:row r="32" ht="36" hidden="0" customHeight="1">
      <x:c r="A32" s="20" t="n">
        <x:v>26</x:v>
      </x:c>
      <x:c r="B32" s="10" t="str">
        <x:v>rom&amp;nd</x:v>
      </x:c>
      <x:c r="C32" s="10" t="str">
        <x:v>Better Than Cheek</x:v>
      </x:c>
      <x:c r="D32" s="10" t="str">
        <x:v>Powder blush</x:v>
      </x:c>
      <x:c r="E32" s="10" t="str">
        <x:v>4 g / W01 Odi Milk</x:v>
      </x:c>
      <x:c r="F32" s="18" t="n">
        <x:v>12.5</x:v>
      </x:c>
      <x:c r="G32" s="10" t="str">
        <x:f>IF(F32&lt;=15,"Budget",IF(F32&lt;=30,"Mid-range","Premium"))</x:f>
        <x:v>Budget</x:v>
      </x:c>
      <x:c r="H32" s="10" t="str">
        <x:v>Talc; Silica; Boron Nitride; Hexyl Laurate; Dimethicone</x:v>
      </x:c>
      <x:c r="I32" s="10" t="str">
        <x:v>Customers who prefer a light, cool pastel blush and a soft powder finish; normal to oily complexions (inferred)</x:v>
      </x:c>
      <x:c r="J32" s="10" t="str">
        <x:v>Adds a buildable watercolor-like flush with a soft-focus, silky finish.</x:v>
      </x:c>
      <x:c r="K32" s="10" t="str">
        <x:v>https://romandbeauty.com/products/better-than-cheek</x:v>
      </x:c>
      <x:c r="L32" s="10" t="str">
        <x:v>https://us.oliveyoung.com/products/UA88133557</x:v>
      </x:c>
      <x:c r="M32" s="10" t="str">
        <x:v>https://romandbeauty.com/products/better-than-cheek</x:v>
      </x:c>
      <x:c r="N32" s="10" t="str">
        <x:v>Official brand USD list price for one blush; tax and shipping excluded</x:v>
      </x:c>
      <x:c r="O32" s="24" t="n">
        <x:v>46300.5</x:v>
      </x:c>
      <x:c r="P32" s="27" t="str"/>
      <x:c r="Q32" s="27" t="str"/>
      <x:c r="R32" s="27" t="str"/>
      <x:c r="S32" s="40" t="str"/>
      <x:c r="T32" s="27" t="str"/>
      <x:c r="U32" s="27" t="str"/>
      <x:c r="V32" s="27" t="str"/>
      <x:c r="W32" s="27" t="str"/>
      <x:c r="X32" s="27" t="str">
        <x:v>Not assessed</x:v>
      </x:c>
      <x:c r="Y32" s="27" t="str"/>
    </x:row>
    <x:row r="33" ht="36" hidden="0" customHeight="1">
      <x:c r="A33" s="19" t="n">
        <x:v>27</x:v>
      </x:c>
      <x:c r="B33" s="9" t="str">
        <x:v>rom&amp;nd</x:v>
      </x:c>
      <x:c r="C33" s="9" t="str">
        <x:v>Glasting Water Gloss</x:v>
      </x:c>
      <x:c r="D33" s="9" t="str">
        <x:v>Lip gloss</x:v>
      </x:c>
      <x:c r="E33" s="9" t="str">
        <x:v>4.5 g / 00 Meteor Track</x:v>
      </x:c>
      <x:c r="F33" s="17" t="n">
        <x:v>14</x:v>
      </x:c>
      <x:c r="G33" s="9" t="str">
        <x:f>IF(F33&lt;=15,"Budget",IF(F33&lt;=30,"Mid-range","Premium"))</x:f>
        <x:v>Budget</x:v>
      </x:c>
      <x:c r="H33" s="9" t="str">
        <x:v>Hydrogenated Polyisobutene; Diisostearyl Malate; Octyldodecanol; Caprylic/Capric Triglyceride; Menthyl Lactate; Sweet Almond Oil</x:v>
      </x:c>
      <x:c r="I33" s="9" t="str">
        <x:v>Customers who prefer clear shimmer, a glassy lip finish or a topper over lip color and enjoy a mint sensation (inferred)</x:v>
      </x:c>
      <x:c r="J33" s="9" t="str">
        <x:v>Adds transparent shine and fine shimmer with a smooth, moisturizing feel and a fuller-looking lip effect.</x:v>
      </x:c>
      <x:c r="K33" s="9" t="str">
        <x:v>https://romandbeauty.com/products/glasting-water-gloss</x:v>
      </x:c>
      <x:c r="L33" s="9" t="str">
        <x:v>https://romand.us/products/glasting-water-gloss</x:v>
      </x:c>
      <x:c r="M33" s="9" t="str">
        <x:v>https://romandbeauty.com/products/glasting-water-gloss</x:v>
      </x:c>
      <x:c r="N33" s="9" t="str">
        <x:v>Official brand USD list price for one gloss; tax and shipping excluded</x:v>
      </x:c>
      <x:c r="O33" s="23" t="n">
        <x:v>46300.5</x:v>
      </x:c>
      <x:c r="P33" s="26" t="str"/>
      <x:c r="Q33" s="26" t="str"/>
      <x:c r="R33" s="26" t="str"/>
      <x:c r="S33" s="39" t="str"/>
      <x:c r="T33" s="26" t="str"/>
      <x:c r="U33" s="26" t="str"/>
      <x:c r="V33" s="26" t="str"/>
      <x:c r="W33" s="26" t="str"/>
      <x:c r="X33" s="26" t="str">
        <x:v>Not assessed</x:v>
      </x:c>
      <x:c r="Y33" s="26" t="str"/>
    </x:row>
    <x:row r="34" ht="36" hidden="0" customHeight="1">
      <x:c r="A34" s="20" t="n">
        <x:v>28</x:v>
      </x:c>
      <x:c r="B34" s="10" t="str">
        <x:v>CLIO</x:v>
      </x:c>
      <x:c r="C34" s="10" t="str">
        <x:v>Kill Lash Superproof Mascara</x:v>
      </x:c>
      <x:c r="D34" s="10" t="str">
        <x:v>Mascara</x:v>
      </x:c>
      <x:c r="E34" s="10" t="str">
        <x:v>7 g / 01 Long Curling (black)</x:v>
      </x:c>
      <x:c r="F34" s="18" t="n">
        <x:v>14.9</x:v>
      </x:c>
      <x:c r="G34" s="10" t="str">
        <x:f>IF(F34&lt;=15,"Budget",IF(F34&lt;=30,"Mid-range","Premium"))</x:f>
        <x:v>Budget</x:v>
      </x:c>
      <x:c r="H34" s="10" t="str">
        <x:v>Isododecane; Trimethylsiloxysilicate; Ceresin; Microcrystalline Wax; Nylon-66; Iron Oxides (CI 77499)</x:v>
      </x:c>
      <x:c r="I34" s="10" t="str">
        <x:v>Customers with short or straight lashes who prefer waterproof length, definition and curl hold (inferred)</x:v>
      </x:c>
      <x:c r="J34" s="10" t="str">
        <x:v>Lengthens and lifts lashes with a defined curl and water-resistant wear.</x:v>
      </x:c>
      <x:c r="K34" s="10" t="str">
        <x:v>https://clubclio.shop/products/clio-kill-lash-superproof-mascara</x:v>
      </x:c>
      <x:c r="L34" s="10" t="str">
        <x:v>https://clubclio.shop/products/clio-kill-lash-superproof-mascara</x:v>
      </x:c>
      <x:c r="M34" s="10" t="str">
        <x:v>https://clubclio.shop/products/clio-kill-lash-superproof-mascara</x:v>
      </x:c>
      <x:c r="N34" s="10" t="str">
        <x:v>Official Club Clio USD displayed price for single mascara without remover; tax and shipping excluded</x:v>
      </x:c>
      <x:c r="O34" s="24" t="n">
        <x:v>46300.5</x:v>
      </x:c>
      <x:c r="P34" s="27" t="str"/>
      <x:c r="Q34" s="27" t="str"/>
      <x:c r="R34" s="27" t="str"/>
      <x:c r="S34" s="40" t="str"/>
      <x:c r="T34" s="27" t="str"/>
      <x:c r="U34" s="27" t="str"/>
      <x:c r="V34" s="27" t="str"/>
      <x:c r="W34" s="27" t="str"/>
      <x:c r="X34" s="27" t="str">
        <x:v>Not assessed</x:v>
      </x:c>
      <x:c r="Y34" s="27" t="str"/>
    </x:row>
    <x:row r="35" ht="36" hidden="0" customHeight="1">
      <x:c r="A35" s="19" t="n">
        <x:v>29</x:v>
      </x:c>
      <x:c r="B35" s="9" t="str">
        <x:v>CLIO</x:v>
      </x:c>
      <x:c r="C35" s="9" t="str">
        <x:v>Sharp So Simple Waterproof Pencil Liner</x:v>
      </x:c>
      <x:c r="D35" s="9" t="str">
        <x:v>Eyeliner pencil</x:v>
      </x:c>
      <x:c r="E35" s="9" t="str">
        <x:v>0.14 g / 01 Black</x:v>
      </x:c>
      <x:c r="F35" s="17" t="n">
        <x:v>10.9</x:v>
      </x:c>
      <x:c r="G35" s="9" t="str">
        <x:f>IF(F35&lt;=15,"Budget",IF(F35&lt;=30,"Mid-range","Premium"))</x:f>
        <x:v>Budget</x:v>
      </x:c>
      <x:c r="H35" s="9" t="str">
        <x:v>Iron Oxides (CI 77499); Trimethylsiloxysilicate; Cyclopentasiloxane; Methyl Trimethicone; Ceresin; Carnauba Wax</x:v>
      </x:c>
      <x:c r="I35" s="9" t="str">
        <x:v>Customers who prefer precise everyday eye definition, a creamy pencil and resistance to water and smudging (inferred)</x:v>
      </x:c>
      <x:c r="J35" s="9" t="str">
        <x:v>Defines the lash line using a slim 2 mm tip and a smooth, waterproof, smudge-resistant formula.</x:v>
      </x:c>
      <x:c r="K35" s="9" t="str">
        <x:v>https://clubclio.shop/products/clio-sharp-so-simple-pencil-liner</x:v>
      </x:c>
      <x:c r="L35" s="9" t="str">
        <x:v>https://clubclio.shop/products/clio-sharp-so-simple-pencil-liner</x:v>
      </x:c>
      <x:c r="M35" s="9" t="str">
        <x:v>https://clubclio.shop/products/clio-sharp-so-simple-pencil-liner</x:v>
      </x:c>
      <x:c r="N35" s="9" t="str">
        <x:v>Official Club Clio USD displayed price for one liner; tax and shipping excluded</x:v>
      </x:c>
      <x:c r="O35" s="23" t="n">
        <x:v>46300.5</x:v>
      </x:c>
      <x:c r="P35" s="26" t="str"/>
      <x:c r="Q35" s="26" t="str"/>
      <x:c r="R35" s="26" t="str"/>
      <x:c r="S35" s="39" t="str"/>
      <x:c r="T35" s="26" t="str"/>
      <x:c r="U35" s="26" t="str"/>
      <x:c r="V35" s="26" t="str"/>
      <x:c r="W35" s="26" t="str"/>
      <x:c r="X35" s="26" t="str">
        <x:v>Not assessed</x:v>
      </x:c>
      <x:c r="Y35" s="26" t="str"/>
    </x:row>
    <x:row r="36" ht="36" hidden="0" customHeight="1">
      <x:c r="A36" s="20" t="n">
        <x:v>30</x:v>
      </x:c>
      <x:c r="B36" s="10" t="str">
        <x:v>peripera</x:v>
      </x:c>
      <x:c r="C36" s="10" t="str">
        <x:v>Ink The Velvet</x:v>
      </x:c>
      <x:c r="D36" s="10" t="str">
        <x:v>Matte lip tint</x:v>
      </x:c>
      <x:c r="E36" s="10" t="str">
        <x:v>4 g / 01 Good Brick</x:v>
      </x:c>
      <x:c r="F36" s="18" t="n">
        <x:v>8.29</x:v>
      </x:c>
      <x:c r="G36" s="10" t="str">
        <x:f>IF(F36&lt;=15,"Budget",IF(F36&lt;=30,"Mid-range","Premium"))</x:f>
        <x:v>Budget</x:v>
      </x:c>
      <x:c r="H36" s="10" t="str">
        <x:v>Dimethicone; Dimethicone/Vinyl Dimethicone Crosspolymer; Polyglyceryl-2 Triisostearate; Isododecane; Butylene Glycol</x:v>
      </x:c>
      <x:c r="I36" s="10" t="str">
        <x:v>Customers who prefer warm brick lip color, a soft matte velvet finish and strong pigmentation (inferred)</x:v>
      </x:c>
      <x:c r="J36" s="10" t="str">
        <x:v>Adds long-lasting color with a soft, velvety matte appearance.</x:v>
      </x:c>
      <x:c r="K36" s="10" t="str">
        <x:v>https://clubclio.shop/products/peripera-ink-the-velvet</x:v>
      </x:c>
      <x:c r="L36" s="10" t="str">
        <x:v>https://clubclio.shop/products/peripera-ink-the-velvet</x:v>
      </x:c>
      <x:c r="M36" s="10" t="str">
        <x:v>https://clubclio.shop/products/peripera-ink-the-velvet</x:v>
      </x:c>
      <x:c r="N36" s="10" t="str">
        <x:v>Official Club Clio USD displayed price for one tint; tax and shipping excluded</x:v>
      </x:c>
      <x:c r="O36" s="24" t="n">
        <x:v>46300.5</x:v>
      </x:c>
      <x:c r="P36" s="27" t="str"/>
      <x:c r="Q36" s="27" t="str"/>
      <x:c r="R36" s="27" t="str"/>
      <x:c r="S36" s="40" t="str"/>
      <x:c r="T36" s="27" t="str"/>
      <x:c r="U36" s="27" t="str"/>
      <x:c r="V36" s="27" t="str"/>
      <x:c r="W36" s="27" t="str"/>
      <x:c r="X36" s="27" t="str">
        <x:v>Not assessed</x:v>
      </x:c>
      <x:c r="Y36" s="27" t="str"/>
    </x:row>
    <x:row r="37" ht="36" hidden="0" customHeight="1">
      <x:c r="A37" s="19" t="n">
        <x:v>31</x:v>
      </x:c>
      <x:c r="B37" s="9" t="str">
        <x:v>peripera</x:v>
      </x:c>
      <x:c r="C37" s="9" t="str">
        <x:v>Ink Airy Velvet</x:v>
      </x:c>
      <x:c r="D37" s="9" t="str">
        <x:v>Soft matte lip tint</x:v>
      </x:c>
      <x:c r="E37" s="9" t="str">
        <x:v>4 g / 03 Cartoon Coral</x:v>
      </x:c>
      <x:c r="F37" s="17" t="n">
        <x:v>8.99</x:v>
      </x:c>
      <x:c r="G37" s="9" t="str">
        <x:f>IF(F37&lt;=15,"Budget",IF(F37&lt;=30,"Mid-range","Premium"))</x:f>
        <x:v>Budget</x:v>
      </x:c>
      <x:c r="H37" s="9" t="str">
        <x:v>Dimethicone; Cyclopentasiloxane; Dimethicone Crosspolymer; Polyglyceryl-2 Triisostearate; Tocopheryl Acetate</x:v>
      </x:c>
      <x:c r="I37" s="9" t="str">
        <x:v>Customers who prefer light coral color, an airy texture and a soft gradient lip look (inferred)</x:v>
      </x:c>
      <x:c r="J37" s="9" t="str">
        <x:v>Creates vivid but soft lip color with a light, smooth matte texture.</x:v>
      </x:c>
      <x:c r="K37" s="9" t="str">
        <x:v>https://clubclio.shop/products/peripera-ink-airy-velvet</x:v>
      </x:c>
      <x:c r="L37" s="9" t="str">
        <x:v>https://clubclio.shop/products/peripera-ink-airy-velvet</x:v>
      </x:c>
      <x:c r="M37" s="9" t="str">
        <x:v>https://clubclio.shop/products/peripera-ink-airy-velvet</x:v>
      </x:c>
      <x:c r="N37" s="9" t="str">
        <x:v>Official Club Clio USD displayed price for one tint; tax and shipping excluded</x:v>
      </x:c>
      <x:c r="O37" s="23" t="n">
        <x:v>46300.5</x:v>
      </x:c>
      <x:c r="P37" s="26" t="str"/>
      <x:c r="Q37" s="26" t="str"/>
      <x:c r="R37" s="26" t="str"/>
      <x:c r="S37" s="39" t="str"/>
      <x:c r="T37" s="26" t="str"/>
      <x:c r="U37" s="26" t="str"/>
      <x:c r="V37" s="26" t="str"/>
      <x:c r="W37" s="26" t="str"/>
      <x:c r="X37" s="26" t="str">
        <x:v>Not assessed</x:v>
      </x:c>
      <x:c r="Y37" s="26" t="str"/>
    </x:row>
    <x:row r="38" ht="36" hidden="0" customHeight="1">
      <x:c r="A38" s="20" t="n">
        <x:v>32</x:v>
      </x:c>
      <x:c r="B38" s="10" t="str">
        <x:v>ETUDE</x:v>
      </x:c>
      <x:c r="C38" s="10" t="str">
        <x:v>Fixing Tint</x:v>
      </x:c>
      <x:c r="D38" s="10" t="str">
        <x:v>Matte lip tint</x:v>
      </x:c>
      <x:c r="E38" s="10" t="str">
        <x:v>4 g / 05 Midnight Mauve</x:v>
      </x:c>
      <x:c r="F38" s="18" t="n">
        <x:v>14.4</x:v>
      </x:c>
      <x:c r="G38" s="10" t="str">
        <x:f>IF(F38&lt;=15,"Budget",IF(F38&lt;=30,"Mid-range","Premium"))</x:f>
        <x:v>Budget</x:v>
      </x:c>
      <x:c r="H38" s="10" t="str">
        <x:v>Isododecane; Dimethicone; Vinyl Dimethicone/Methicone Silsesquioxane Crosspolymer; Butylene Glycol; Diglycerin</x:v>
      </x:c>
      <x:c r="I38" s="10" t="str">
        <x:v>Customers who prefer a muted cool pink lip, a comfortable matte finish and reduced color transfer (inferred)</x:v>
      </x:c>
      <x:c r="J38" s="10" t="str">
        <x:v>Adds lightweight matte color that sets to a transfer-resistant finish.</x:v>
      </x:c>
      <x:c r="K38" s="10" t="str">
        <x:v>https://us.oliveyoung.com/products/UA46857080</x:v>
      </x:c>
      <x:c r="L38" s="10" t="str">
        <x:v>https://us.oliveyoung.com/products/UA46857080</x:v>
      </x:c>
      <x:c r="M38" s="10" t="str">
        <x:v>https://sokoglam.com/products/etude-house-fixing-tint</x:v>
      </x:c>
      <x:c r="N38" s="10" t="str">
        <x:v>Soko Glam US displayed list price for one tint; tax and shipping excluded</x:v>
      </x:c>
      <x:c r="O38" s="24" t="n">
        <x:v>46300.5</x:v>
      </x:c>
      <x:c r="P38" s="27" t="str"/>
      <x:c r="Q38" s="27" t="str"/>
      <x:c r="R38" s="27" t="str"/>
      <x:c r="S38" s="40" t="str"/>
      <x:c r="T38" s="27" t="str"/>
      <x:c r="U38" s="27" t="str"/>
      <x:c r="V38" s="27" t="str"/>
      <x:c r="W38" s="27" t="str"/>
      <x:c r="X38" s="27" t="str">
        <x:v>Not assessed</x:v>
      </x:c>
      <x:c r="Y38" s="27" t="str"/>
    </x:row>
    <x:row r="39" ht="24" hidden="0" customHeight="1">
      <x:c r="A39" s="19" t="n">
        <x:v>33</x:v>
      </x:c>
      <x:c r="B39" s="9" t="str">
        <x:v>LANEIGE</x:v>
      </x:c>
      <x:c r="C39" s="9" t="str">
        <x:v>Lip Sleeping Mask</x:v>
      </x:c>
      <x:c r="D39" s="9" t="str">
        <x:v>Overnight lip mask</x:v>
      </x:c>
      <x:c r="E39" s="9" t="str">
        <x:v>20 g / 0.70 oz / Berry (Original)</x:v>
      </x:c>
      <x:c r="F39" s="17" t="n">
        <x:v>24</x:v>
      </x:c>
      <x:c r="G39" s="9" t="str">
        <x:f>IF(F39&lt;=15,"Budget",IF(F39&lt;=30,"Mid-range","Premium"))</x:f>
        <x:v>Mid-range</x:v>
      </x:c>
      <x:c r="H39" s="9" t="str">
        <x:v>Shea Butter; Murumuru Seed Butter; Coconut Oil; Ascorbic Acid (Vitamin C); Diisostearyl Malate</x:v>
      </x:c>
      <x:c r="I39" s="9" t="str">
        <x:v>Customers with dry-feeling or flaky lips who prefer a rich overnight mask and a berry fragrance (inferred)</x:v>
      </x:c>
      <x:c r="J39" s="9" t="str">
        <x:v>Provides intensive overnight moisture to soften lips and improve the appearance of dryness and flaking.</x:v>
      </x:c>
      <x:c r="K39" s="9" t="str">
        <x:v>https://us.laneige.com/products/lip-sleeping-mask</x:v>
      </x:c>
      <x:c r="L39" s="9" t="str">
        <x:v>https://us.laneige.com/products/lip-sleeping-mask</x:v>
      </x:c>
      <x:c r="M39" s="9" t="str">
        <x:v>https://us.laneige.com/products/lip-sleeping-mask</x:v>
      </x:c>
      <x:c r="N39" s="9" t="str">
        <x:v>Official US brand list price for one lip mask; tax and shipping excluded</x:v>
      </x:c>
      <x:c r="O39" s="23" t="n">
        <x:v>46300.5</x:v>
      </x:c>
      <x:c r="P39" s="26" t="str">
        <x:v>Jin (BTS)</x:v>
      </x:c>
      <x:c r="Q39" s="26" t="str">
        <x:v>Brand ambassador</x:v>
      </x:c>
      <x:c r="R39" s="26" t="str">
        <x:v>Brand-level</x:v>
      </x:c>
      <x:c r="S39" s="39" t="n">
        <x:v>45565.5</x:v>
      </x:c>
      <x:c r="T39" s="26" t="str">
        <x:v>From LANEIGE, which named BTS Jin its global ambassador in 2024.</x:v>
      </x:c>
      <x:c r="U39" s="26" t="str">
        <x:v>https://stories.amorepacific.com/en/amorepacific-laneige-appoints-bts-jin-as-global-ambassador/</x:v>
      </x:c>
      <x:c r="V39" s="26" t="str">
        <x:v>Dated appointment verified; current contract unconfirmed.</x:v>
      </x:c>
      <x:c r="W39" s="26" t="str">
        <x:v>Source publication or campaign date</x:v>
      </x:c>
      <x:c r="X39" s="26" t="str">
        <x:v>Not assessed</x:v>
      </x:c>
      <x:c r="Y39" s="26" t="str"/>
    </x:row>
    <x:row r="40" ht="24" hidden="0" customHeight="1">
      <x:c r="A40" s="20" t="n">
        <x:v>34</x:v>
      </x:c>
      <x:c r="B40" s="10" t="str">
        <x:v>LANEIGE</x:v>
      </x:c>
      <x:c r="C40" s="10" t="str">
        <x:v>Water Bank Blue Hyaluronic Cream Moisturizer</x:v>
      </x:c>
      <x:c r="D40" s="10" t="str">
        <x:v>Face moisturizer</x:v>
      </x:c>
      <x:c r="E40" s="10" t="str">
        <x:v>50 mL / 1.6 fl oz</x:v>
      </x:c>
      <x:c r="F40" s="18" t="n">
        <x:v>38</x:v>
      </x:c>
      <x:c r="G40" s="10" t="str">
        <x:f>IF(F40&lt;=15,"Budget",IF(F40&lt;=30,"Mid-range","Premium"))</x:f>
        <x:v>Premium</x:v>
      </x:c>
      <x:c r="H40" s="10" t="str">
        <x:v>Glycerin; Squalane; Panthenol; Hydrolyzed Hyaluronic Acid; Ceramide NP; Allantoin</x:v>
      </x:c>
      <x:c r="I40" s="10" t="str">
        <x:v>Normal to dry skin; customers seeking a rich daily moisturizer and moisture-barrier support (inferred)</x:v>
      </x:c>
      <x:c r="J40" s="10" t="str">
        <x:v>Hydrates and softens skin while supporting its moisture barrier and a healthy-looking glow.</x:v>
      </x:c>
      <x:c r="K40" s="10" t="str">
        <x:v>https://us.laneige.com/products/water-bank-blue-hyaluronic-cream-moisturizer</x:v>
      </x:c>
      <x:c r="L40" s="10" t="str">
        <x:v>https://us.laneige.com/products/water-bank-blue-hyaluronic-cream-moisturizer</x:v>
      </x:c>
      <x:c r="M40" s="10" t="str">
        <x:v>https://us.laneige.com/products/water-bank-blue-hyaluronic-cream-moisturizer</x:v>
      </x:c>
      <x:c r="N40" s="10" t="str">
        <x:v>Official US brand displayed standard-size jar price; tax and shipping excluded</x:v>
      </x:c>
      <x:c r="O40" s="24" t="n">
        <x:v>46300.5</x:v>
      </x:c>
      <x:c r="P40" s="27" t="str">
        <x:v>Jin (BTS)</x:v>
      </x:c>
      <x:c r="Q40" s="27" t="str">
        <x:v>Brand ambassador</x:v>
      </x:c>
      <x:c r="R40" s="27" t="str">
        <x:v>Brand-level</x:v>
      </x:c>
      <x:c r="S40" s="40" t="n">
        <x:v>45565.5</x:v>
      </x:c>
      <x:c r="T40" s="27" t="str">
        <x:v>From LANEIGE, which named BTS Jin its global ambassador in 2024.</x:v>
      </x:c>
      <x:c r="U40" s="27" t="str">
        <x:v>https://stories.amorepacific.com/en/amorepacific-laneige-appoints-bts-jin-as-global-ambassador/</x:v>
      </x:c>
      <x:c r="V40" s="27" t="str">
        <x:v>Dated appointment verified; current contract unconfirmed.</x:v>
      </x:c>
      <x:c r="W40" s="27" t="str">
        <x:v>Source publication or campaign date</x:v>
      </x:c>
      <x:c r="X40" s="27" t="str">
        <x:v>Not assessed</x:v>
      </x:c>
      <x:c r="Y40" s="27" t="str"/>
    </x:row>
    <x:row r="41" ht="36" hidden="0" customHeight="1">
      <x:c r="A41" s="19" t="n">
        <x:v>35</x:v>
      </x:c>
      <x:c r="B41" s="9" t="str">
        <x:v>innisfree</x:v>
      </x:c>
      <x:c r="C41" s="9" t="str">
        <x:v>Green Tea Seed Hyaluronic Acid Cream</x:v>
      </x:c>
      <x:c r="D41" s="9" t="str">
        <x:v>Face moisturizer</x:v>
      </x:c>
      <x:c r="E41" s="9" t="str">
        <x:v>50 mL / 1.69 fl oz</x:v>
      </x:c>
      <x:c r="F41" s="17" t="n">
        <x:v>30</x:v>
      </x:c>
      <x:c r="G41" s="9" t="str">
        <x:f>IF(F41&lt;=15,"Budget",IF(F41&lt;=30,"Mid-range","Premium"))</x:f>
        <x:v>Mid-range</x:v>
      </x:c>
      <x:c r="H41" s="9" t="str">
        <x:v>Glycerin; Squalane; Camellia Sinensis Leaf Extract; Camellia Sinensis Seed Oil; Hyaluronic Acid; Ceramide NP</x:v>
      </x:c>
      <x:c r="I41" s="9" t="str">
        <x:v>Normal, combination or dry skin; customers who prefer daily hydration and a formula without listed added fragrance (inferred)</x:v>
      </x:c>
      <x:c r="J41" s="9" t="str">
        <x:v>Hydrates skin, helps retain moisture and supports a smooth, dewy-looking complexion.</x:v>
      </x:c>
      <x:c r="K41" s="9" t="str">
        <x:v>https://us.innisfree.com/products/green-tea-seed-hyaluronic-cream</x:v>
      </x:c>
      <x:c r="L41" s="9" t="str">
        <x:v>https://us.innisfree.com/products/green-tea-seed-hyaluronic-cream</x:v>
      </x:c>
      <x:c r="M41" s="9" t="str">
        <x:v>https://us.innisfree.com/products/green-tea-seed-hyaluronic-cream</x:v>
      </x:c>
      <x:c r="N41" s="9" t="str">
        <x:v>Official US brand list price for standard 50 mL jar; tax and shipping excluded</x:v>
      </x:c>
      <x:c r="O41" s="23" t="n">
        <x:v>46300.5</x:v>
      </x:c>
      <x:c r="P41" s="26" t="str">
        <x:v>Mingyu (SEVENTEEN)</x:v>
      </x:c>
      <x:c r="Q41" s="26" t="str">
        <x:v>Brand campaign model</x:v>
      </x:c>
      <x:c r="R41" s="26" t="str">
        <x:v>Brand-level</x:v>
      </x:c>
      <x:c r="S41" s="39" t="n">
        <x:v>44987.5</x:v>
      </x:c>
      <x:c r="T41" s="26" t="str">
        <x:v>From innisfree, which featured SEVENTEEN Mingyu in its 2023 global brand campaign.</x:v>
      </x:c>
      <x:c r="U41" s="26" t="str">
        <x:v>https://stories.amorepacific.com/en/innisfree-welcomes-global-artist-mingyu-from-seventeen-as-its-new-global-model/</x:v>
      </x:c>
      <x:c r="V41" s="26" t="str">
        <x:v>Dated appointment verified; current contract unconfirmed.</x:v>
      </x:c>
      <x:c r="W41" s="26" t="str">
        <x:v>Source publication or campaign date</x:v>
      </x:c>
      <x:c r="X41" s="26" t="str">
        <x:v>Not assessed</x:v>
      </x:c>
      <x:c r="Y41" s="26" t="str"/>
    </x:row>
    <x:row r="42" ht="48" hidden="0" customHeight="1">
      <x:c r="A42" s="20" t="n">
        <x:v>36</x:v>
      </x:c>
      <x:c r="B42" s="10" t="str">
        <x:v>mixsoon</x:v>
      </x:c>
      <x:c r="C42" s="10" t="str">
        <x:v>Bean Essence</x:v>
      </x:c>
      <x:c r="D42" s="10" t="str">
        <x:v>Hydrating essence</x:v>
      </x:c>
      <x:c r="E42" s="10" t="str">
        <x:v>50 mL / 1.69 fl oz</x:v>
      </x:c>
      <x:c r="F42" s="18" t="n">
        <x:v>35</x:v>
      </x:c>
      <x:c r="G42" s="10" t="str">
        <x:f>IF(F42&lt;=15,"Budget",IF(F42&lt;=30,"Mid-range","Premium"))</x:f>
        <x:v>Premium</x:v>
      </x:c>
      <x:c r="H42" s="10" t="str">
        <x:v>Propanediol; Glycerin; Lactobacillus/Soybean Ferment Extract; Lactobacillus/Punica Granatum Fruit Ferment Extract; Saccharomyces/Barley Seed Ferment Filtrate; Lactobacillus/Pear Juice Ferment Filtrate</x:v>
      </x:c>
      <x:c r="I42" s="10" t="str">
        <x:v>Dry, dehydrated or rough-feeling skin; customers who prefer lightweight fermented skincare without added fragrance (inferred)</x:v>
      </x:c>
      <x:c r="J42" s="10" t="str">
        <x:v>Adds lightweight hydration and helps skin feel softer with a smoother-looking texture.</x:v>
      </x:c>
      <x:c r="K42" s="10" t="str">
        <x:v>https://mixsoon.us/products/mixsoon-bean-essence-50ml</x:v>
      </x:c>
      <x:c r="L42" s="10" t="str">
        <x:v>https://mixsoon.us/products/mixsoon-bean-essence-50ml</x:v>
      </x:c>
      <x:c r="M42" s="10" t="str">
        <x:v>https://mixsoon.us/products/mixsoon-bean-essence-50ml</x:v>
      </x:c>
      <x:c r="N42" s="10" t="str">
        <x:v>Official US brand displayed list price for 50 mL bottle; tax and shipping excluded</x:v>
      </x:c>
      <x:c r="O42" s="24" t="n">
        <x:v>46300.5</x:v>
      </x:c>
      <x:c r="P42" s="27" t="str"/>
      <x:c r="Q42" s="27" t="str"/>
      <x:c r="R42" s="27" t="str"/>
      <x:c r="S42" s="40" t="str"/>
      <x:c r="T42" s="27" t="str"/>
      <x:c r="U42" s="27" t="str"/>
      <x:c r="V42" s="27" t="str"/>
      <x:c r="W42" s="27" t="str"/>
      <x:c r="X42" s="27" t="str">
        <x:v>Not assessed</x:v>
      </x:c>
      <x:c r="Y42" s="27" t="str"/>
    </x:row>
    <x:row r="43" ht="72" hidden="0" customHeight="1">
      <x:c r="A43" s="37" t="n">
        <x:v>37</x:v>
      </x:c>
      <x:c r="B43" s="26" t="str">
        <x:v>HERA</x:v>
      </x:c>
      <x:c r="C43" s="26" t="str">
        <x:v>Black Cushion Foundation (single cushion), shade 17N1 Ivory</x:v>
      </x:c>
      <x:c r="D43" s="26" t="str">
        <x:v>Cushion foundation</x:v>
      </x:c>
      <x:c r="E43" s="26" t="str">
        <x:v>15 g / one cushion; no refill</x:v>
      </x:c>
      <x:c r="F43" s="35" t="n">
        <x:v>43</x:v>
      </x:c>
      <x:c r="G43" s="26" t="str">
        <x:f>IF(F43&lt;=15,"Budget",IF(F43&lt;=30,"Mid-range","Premium"))</x:f>
        <x:v>Premium</x:v>
      </x:c>
      <x:c r="H43" s="26" t="str">
        <x:v>Titanium dioxide (color pigment); Iron oxide pigments; Dimethicone; Glycerin; Tocopherol</x:v>
      </x:c>
      <x:c r="I43" s="26" t="str">
        <x:v>Inferred: customers whose skin tone matches 17N1 Ivory and who want buildable coverage with a soft satin finish and a portable cushion compact.</x:v>
      </x:c>
      <x:c r="J43" s="26" t="str">
        <x:v>Evens the look of skin tone, blurs visible pores and imperfections, and creates a light-feeling soft satin finish.</x:v>
      </x:c>
      <x:c r="K43" s="26" t="str">
        <x:v>https://int.hera.com/products/black-cushion-foundation</x:v>
      </x:c>
      <x:c r="L43" s="26" t="str">
        <x:v>https://global.amoremall.com/products/hera-black-cushion-foundation-single?variant=45400152080522</x:v>
      </x:c>
      <x:c r="M43" s="26" t="str">
        <x:v>https://global.amoremall.com/products/hera-black-cushion-foundation-single?variant=45400152080522</x:v>
      </x:c>
      <x:c r="N43" s="26" t="str">
        <x:v>Official Global AMORE MALL USD regular reference price; displayed sale $38.70; international import to U.S.; excludes tax, import charges and shipping</x:v>
      </x:c>
      <x:c r="O43" s="41" t="n">
        <x:v>46300.5</x:v>
      </x:c>
      <x:c r="P43" s="26" t="str">
        <x:v>Jennie (BLACKPINK)</x:v>
      </x:c>
      <x:c r="Q43" s="26" t="str">
        <x:v>Product campaign</x:v>
      </x:c>
      <x:c r="R43" s="26" t="str">
        <x:v>Product family; selected shade/formula unverified</x:v>
      </x:c>
      <x:c r="S43" s="39" t="n">
        <x:v>45530.5</x:v>
      </x:c>
      <x:c r="T43" s="26" t="str">
        <x:v>Black Cushion Foundation featured in HERA's 2024 campaign with BLACKPINK's Jennie.</x:v>
      </x:c>
      <x:c r="U43" s="26" t="str">
        <x:v>https://stories.amorepacific.com/%EC%95%84%EB%AA%A8%EB%A0%88%ED%8D%BC%EC%8B%9C%ED%94%BD-%ED%97%A4%EB%9D%BC-%EC%A0%9C%EB%8B%88%EC%99%80-%ED%95%A8%EA%BB%98-%EA%B8%80%EB%A1%9C%EB%B2%8C-%EC%BA%A0%ED%8E%98%EC%9D%B8-%EC%A0%84%EA%B0%9C/</x:v>
      </x:c>
      <x:c r="V43" s="26" t="str">
        <x:v>Verified dated campaign; current contract not confirmed</x:v>
      </x:c>
      <x:c r="W43" s="26" t="str">
        <x:v>Source publication or campaign date</x:v>
      </x:c>
      <x:c r="X43" s="26" t="str">
        <x:v>Sold out at observed official price source</x:v>
      </x:c>
      <x:c r="Y43" s="26" t="str">
        <x:v>Opened official shop selects 17N1 Ivory, 15 g x 1, at $38.70 versus $43 regular and supplies a shade-specific 17N1 ingredient list. This is the international SPF34/PA++ product, not the newer U.S. SPF37 formula. Jennie's campaign names Black Cushion Foundation, but her use of this exact shade is not verified. Shop displays Sold out. Official shipping policy includes the U.S.: https://global.amoremall.com/pages/shipping-policy.</x:v>
      </x:c>
    </x:row>
    <x:row r="44" ht="72" hidden="0" customHeight="1">
      <x:c r="A44" s="38" t="n">
        <x:v>38</x:v>
      </x:c>
      <x:c r="B44" s="27" t="str">
        <x:v>HERA</x:v>
      </x:c>
      <x:c r="C44" s="27" t="str">
        <x:v>Sensual Nude Gloss, shade 325 Sunkissed (Felix's Pick)</x:v>
      </x:c>
      <x:c r="D44" s="27" t="str">
        <x:v>Lip gloss</x:v>
      </x:c>
      <x:c r="E44" s="27" t="str">
        <x:v>5 g</x:v>
      </x:c>
      <x:c r="F44" s="36" t="n">
        <x:v>35</x:v>
      </x:c>
      <x:c r="G44" s="27" t="str">
        <x:f>IF(F44&lt;=15,"Budget",IF(F44&lt;=30,"Mid-range","Premium"))</x:f>
        <x:v>Premium</x:v>
      </x:c>
      <x:c r="H44" s="27" t="str">
        <x:v>Evening primrose oil; Phytosterols</x:v>
      </x:c>
      <x:c r="I44" s="27" t="str">
        <x:v>Inferred: customers who want sheer lip color, strong shine and a comfortable glossy texture; suitable for those who enjoy a refreshing tingling gloss.</x:v>
      </x:c>
      <x:c r="J44" s="27" t="str">
        <x:v>Adds sheer color and shine, makes lips look fuller and helps them feel hydrated.</x:v>
      </x:c>
      <x:c r="K44" s="27" t="str">
        <x:v>https://int.hera.com/products/sensual-nude-gloss</x:v>
      </x:c>
      <x:c r="L44" s="27" t="str">
        <x:v>https://global.amoremall.com/products/felixs-pick-engraving-hera-sensual-nude-gloss</x:v>
      </x:c>
      <x:c r="M44" s="27" t="str">
        <x:v>https://global.amoremall.com/products/felixs-pick-engraving-hera-sensual-nude-gloss</x:v>
      </x:c>
      <x:c r="N44" s="27" t="str">
        <x:v>Official Global AMORE MALL USD regular reference price; displayed sale $31.50; international import to U.S.; excludes tax, import charges and shipping</x:v>
      </x:c>
      <x:c r="O44" s="42" t="n">
        <x:v>46300.5</x:v>
      </x:c>
      <x:c r="P44" s="27" t="str">
        <x:v>Felix (Stray Kids)</x:v>
      </x:c>
      <x:c r="Q44" s="27" t="str">
        <x:v>Product campaign</x:v>
      </x:c>
      <x:c r="R44" s="27" t="str">
        <x:v>Exact product</x:v>
      </x:c>
      <x:c r="S44" s="40" t="n">
        <x:v>46300.5</x:v>
      </x:c>
      <x:c r="T44" s="27" t="str">
        <x:v>HERA's official shop promotes shade 325 Sunkissed as Felix's Pick.</x:v>
      </x:c>
      <x:c r="U44" s="27" t="str">
        <x:v>https://global.amoremall.com/products/felixs-pick-engraving-hera-sensual-nude-gloss</x:v>
      </x:c>
      <x:c r="V44" s="27" t="str">
        <x:v>Official selected-shade promotion observed 2026-10-05; contract term not confirmed</x:v>
      </x:c>
      <x:c r="W44" s="27" t="str">
        <x:v>Observation date of an undated official shop promotion, not a campaign launch date</x:v>
      </x:c>
      <x:c r="X44" s="27" t="str">
        <x:v>Sold out at observed official price source</x:v>
      </x:c>
      <x:c r="Y44" s="27" t="str">
        <x:v>Opened shop selects [Felix's Pick] 325 Sunkissed, 5 g, at $31.50 versus $35 regular. The product description identifies evening primrose oil and phytosterols; its visible full INCI is for shade 462, so that shade's pigments are not transferred to 325. Official HERA also describes a menthol cooling sensation. Shop displays Sold out. Promotion is not evidence of Felix's personal use. U.S. import shipping supported by official shipping policy.</x:v>
      </x:c>
    </x:row>
    <x:row r="45" ht="48" hidden="0" customHeight="1">
      <x:c r="A45" s="37" t="n">
        <x:v>39</x:v>
      </x:c>
      <x:c r="B45" s="26" t="str">
        <x:v>Sulwhasoo</x:v>
      </x:c>
      <x:c r="C45" s="26" t="str">
        <x:v>First Care Activating Serum VI</x:v>
      </x:c>
      <x:c r="D45" s="26" t="str">
        <x:v>Hydrating first-step serum</x:v>
      </x:c>
      <x:c r="E45" s="26" t="str">
        <x:v>60 ml / 2.02 fl oz</x:v>
      </x:c>
      <x:c r="F45" s="35" t="n">
        <x:v>89</x:v>
      </x:c>
      <x:c r="G45" s="26" t="str">
        <x:f>IF(F45&lt;=15,"Budget",IF(F45&lt;=30,"Mid-range","Premium"))</x:f>
        <x:v>Premium</x:v>
      </x:c>
      <x:c r="H45" s="26" t="str">
        <x:v>Panax ginseng root extract; Betaine; Madecassoside; 3-O-Ethyl ascorbic acid (vitamin C derivative); Adenosine</x:v>
      </x:c>
      <x:c r="I45" s="26" t="str">
        <x:v>Inferred: normal, dry, combination or oily skin seeking a light first serum for hydration and a smoother, more radiant appearance; customers comfortable with fragrance and alcohol in a premium formula.</x:v>
      </x:c>
      <x:c r="J45" s="26" t="str">
        <x:v>Hydrates, supports the moisture barrier, and helps improve the visible appearance of texture, dullness and fine lines.</x:v>
      </x:c>
      <x:c r="K45" s="26" t="str">
        <x:v>https://us.sulwhasoo.com/products/first-care-activating-serum?variant=41665230798893</x:v>
      </x:c>
      <x:c r="L45" s="26" t="str">
        <x:v>https://us.sulwhasoo.com/products/first-care-activating-serum?variant=41665230798893</x:v>
      </x:c>
      <x:c r="M45" s="26" t="str">
        <x:v>https://us.sulwhasoo.com/products/first-care-activating-serum?variant=41665230798893</x:v>
      </x:c>
      <x:c r="N45" s="26" t="str">
        <x:v>Brand official U.S. listed price for selected 60 ml variant; excludes tax and shipping</x:v>
      </x:c>
      <x:c r="O45" s="41" t="n">
        <x:v>46300.5</x:v>
      </x:c>
      <x:c r="P45" s="26" t="str">
        <x:v>Rosé (BLACKPINK)</x:v>
      </x:c>
      <x:c r="Q45" s="26" t="str">
        <x:v>Artist-reported use + brand ambassador</x:v>
      </x:c>
      <x:c r="R45" s="26" t="str">
        <x:v>Serum family; current VI formula unverified</x:v>
      </x:c>
      <x:c r="S45" s="39" t="n">
        <x:v>44824.5</x:v>
      </x:c>
      <x:c r="T45" s="26" t="str">
        <x:v>Rosé reported long-standing First Care Activating Serum use in Sulwhasoo's 2022 announcement.</x:v>
      </x:c>
      <x:c r="U45" s="26" t="str">
        <x:v>https://stories.amorepacific.com/en/from-the-origin-of-the-b/</x:v>
      </x:c>
      <x:c r="V45" s="26" t="str">
        <x:v>Verified dated campaign; current contract not confirmed</x:v>
      </x:c>
      <x:c r="W45" s="26" t="str">
        <x:v>Source publication or campaign date</x:v>
      </x:c>
      <x:c r="X45" s="26" t="str">
        <x:v>Not assessed</x:v>
      </x:c>
      <x:c r="Y45" s="26" t="str">
        <x:v>Opened U.S. page selects 60 ml at $89 and supplies the complete VI ingredient list. Brand highlights 500-hour aged ginseng, a Korean herb blend and vitamin C derivative; current INCI contains fragrance and alcohol denat. Rosé's 2022 statement concerned the First Care serum family; it does not verify her use of this current VI formula.</x:v>
      </x:c>
    </x:row>
    <x:row r="46" ht="48" hidden="0" customHeight="1">
      <x:c r="A46" s="38" t="n">
        <x:v>40</x:v>
      </x:c>
      <x:c r="B46" s="27" t="str">
        <x:v>Sulwhasoo</x:v>
      </x:c>
      <x:c r="C46" s="27" t="str">
        <x:v>Gentle Cleansing Foam</x:v>
      </x:c>
      <x:c r="D46" s="27" t="str">
        <x:v>Gel-to-foam cleanser</x:v>
      </x:c>
      <x:c r="E46" s="27" t="str">
        <x:v>200 ml / 6.76 fl oz</x:v>
      </x:c>
      <x:c r="F46" s="36" t="n">
        <x:v>38</x:v>
      </x:c>
      <x:c r="G46" s="27" t="str">
        <x:f>IF(F46&lt;=15,"Budget",IF(F46&lt;=30,"Mid-range","Premium"))</x:f>
        <x:v>Premium</x:v>
      </x:c>
      <x:c r="H46" s="27" t="str">
        <x:v>Potassium cocoyl glycinate; Cocamidopropyl betaine; Mulberry leaf extract; Dioscorea japonica root extract (mountain yam); Pentylene glycol</x:v>
      </x:c>
      <x:c r="I46" s="27" t="str">
        <x:v>Inferred: normal, combination or oily skin seeking a rich foaming cleanse that leaves a hydrated feel; customers comfortable with a fragranced cleanser.</x:v>
      </x:c>
      <x:c r="J46" s="27" t="str">
        <x:v>Washes away dirt and everyday impurities while softening skin and leaving it feeling refreshed and hydrated.</x:v>
      </x:c>
      <x:c r="K46" s="27" t="str">
        <x:v>https://us.sulwhasoo.com/products/gentle-cleansing-foam</x:v>
      </x:c>
      <x:c r="L46" s="27" t="str">
        <x:v>https://us.sulwhasoo.com/products/gentle-cleansing-foam</x:v>
      </x:c>
      <x:c r="M46" s="27" t="str">
        <x:v>https://us.sulwhasoo.com/products/gentle-cleansing-foam</x:v>
      </x:c>
      <x:c r="N46" s="27" t="str">
        <x:v>Brand official U.S. listed price for 200 ml; excludes tax and shipping</x:v>
      </x:c>
      <x:c r="O46" s="42" t="n">
        <x:v>46300.5</x:v>
      </x:c>
      <x:c r="P46" s="27" t="str">
        <x:v>Rosé (BLACKPINK)</x:v>
      </x:c>
      <x:c r="Q46" s="27" t="str">
        <x:v>Brand ambassador</x:v>
      </x:c>
      <x:c r="R46" s="27" t="str">
        <x:v>Brand-level</x:v>
      </x:c>
      <x:c r="S46" s="40" t="n">
        <x:v>44824.5</x:v>
      </x:c>
      <x:c r="T46" s="27" t="str">
        <x:v>A cleanser from Sulwhasoo, the brand Rosé represented in its 2022 campaign.</x:v>
      </x:c>
      <x:c r="U46" s="27" t="str">
        <x:v>https://stories.amorepacific.com/en/from-the-origin-of-the-b/</x:v>
      </x:c>
      <x:c r="V46" s="27" t="str">
        <x:v>Verified dated campaign; current contract not confirmed</x:v>
      </x:c>
      <x:c r="W46" s="27" t="str">
        <x:v>Source publication or campaign date</x:v>
      </x:c>
      <x:c r="X46" s="27" t="str">
        <x:v>Not assessed</x:v>
      </x:c>
      <x:c r="Y46" s="27" t="str">
        <x:v>Opened U.S. page shows 200 ml/$38 and full INCI. Brand's Hydra Capture Complex description specifically highlights mulberry and mountain yam. Contains fragrance. Rosé evidence establishes a dated Sulwhasoo brand relationship, not endorsement or personal use of this cleanser.</x:v>
      </x:c>
    </x:row>
    <x:row r="47" ht="60" hidden="0" customHeight="1">
      <x:c r="A47" s="37" t="n">
        <x:v>41</x:v>
      </x:c>
      <x:c r="B47" s="26" t="str">
        <x:v>Mamonde</x:v>
      </x:c>
      <x:c r="C47" s="26" t="str">
        <x:v>Flora Glow Rose Daily Liquid Mask</x:v>
      </x:c>
      <x:c r="D47" s="26" t="str">
        <x:v>Exfoliating hydrating liquid mask</x:v>
      </x:c>
      <x:c r="E47" s="26" t="str">
        <x:v>80 ml / 2.70 fl oz</x:v>
      </x:c>
      <x:c r="F47" s="35" t="n">
        <x:v>22</x:v>
      </x:c>
      <x:c r="G47" s="26" t="str">
        <x:f>IF(F47&lt;=15,"Budget",IF(F47&lt;=30,"Mid-range","Premium"))</x:f>
        <x:v>Mid-range</x:v>
      </x:c>
      <x:c r="H47" s="26" t="str">
        <x:v>Gluconolactone (PHA); Panthenol; Glycerin; Rosa damascena flower extract; Sodium hyaluronate</x:v>
      </x:c>
      <x:c r="I47" s="26" t="str">
        <x:v>Inferred: customers with dull or uneven-feeling skin who want hydration and gentle exfoliation before makeup; suited to those who like a light liquid layer.</x:v>
      </x:c>
      <x:c r="J47" s="26" t="str">
        <x:v>Gently exfoliates and hydrates to make skin feel smoother, look more radiant and provide a smoother makeup base.</x:v>
      </x:c>
      <x:c r="K47" s="26" t="str">
        <x:v>https://int.mamonde.com/products/flora-glow-rose-liquid-mask</x:v>
      </x:c>
      <x:c r="L47" s="26" t="str">
        <x:v>https://us.oliveyoung.com/products/UA61782101</x:v>
      </x:c>
      <x:c r="M47" s="26" t="str">
        <x:v>https://us.oliveyoung.com/products/UA61782101</x:v>
      </x:c>
      <x:c r="N47" s="26" t="str">
        <x:v>Olive Young U.S. list price; displayed sale $18.70; excludes tax and shipping</x:v>
      </x:c>
      <x:c r="O47" s="41" t="n">
        <x:v>46300.5</x:v>
      </x:c>
      <x:c r="P47" s="26" t="str">
        <x:v>Winter (aespa)</x:v>
      </x:c>
      <x:c r="Q47" s="26" t="str">
        <x:v>Product campaign</x:v>
      </x:c>
      <x:c r="R47" s="26" t="str">
        <x:v>Exact product</x:v>
      </x:c>
      <x:c r="S47" s="39" t="n">
        <x:v>45582.5</x:v>
      </x:c>
      <x:c r="T47" s="26" t="str">
        <x:v>Flora Glow Rose Liquid Mask appeared in Mamonde's 2024 campaign with aespa's Winter.</x:v>
      </x:c>
      <x:c r="U47" s="26" t="str">
        <x:v>https://stories.amorepacific.com/en/amorepacific-mamonde-making-makeup-sit-pretty-day-after-day/</x:v>
      </x:c>
      <x:c r="V47" s="26" t="str">
        <x:v>Verified dated campaign; current contract not confirmed</x:v>
      </x:c>
      <x:c r="W47" s="26" t="str">
        <x:v>Source publication or campaign date</x:v>
      </x:c>
      <x:c r="X47" s="26" t="str">
        <x:v>Not assessed</x:v>
      </x:c>
      <x:c r="Y47" s="26" t="str">
        <x:v>Opened Olive Young U.S. page shows exact 80 ml SKU at $18.70 versus $22 List Price and supplies full INCI. Official international page and corporate interview describe 10% PHA for Flora Glow Rose Liquid Mask; the U.S. retailer ingredient list confirms gluconolactone but does not separately state its percentage. Winter campaign is verified by a dated primary company interview; personal use is not claimed.</x:v>
      </x:c>
    </x:row>
    <x:row r="48" ht="60" hidden="0" customHeight="1">
      <x:c r="A48" s="38" t="n">
        <x:v>42</x:v>
      </x:c>
      <x:c r="B48" s="27" t="str">
        <x:v>Mamonde</x:v>
      </x:c>
      <x:c r="C48" s="27" t="str">
        <x:v>Pore Shrinker Bakuchiol Cream</x:v>
      </x:c>
      <x:c r="D48" s="27" t="str">
        <x:v>Retinol and bakuchiol moisturizer</x:v>
      </x:c>
      <x:c r="E48" s="27" t="str">
        <x:v>60 ml</x:v>
      </x:c>
      <x:c r="F48" s="36" t="n">
        <x:v>40</x:v>
      </x:c>
      <x:c r="G48" s="27" t="str">
        <x:f>IF(F48&lt;=15,"Budget",IF(F48&lt;=30,"Mid-range","Premium"))</x:f>
        <x:v>Premium</x:v>
      </x:c>
      <x:c r="H48" s="27" t="str">
        <x:v>Bakuchiol; Retinol; Panthenol; Glycerin; Sodium hyaluronate</x:v>
      </x:c>
      <x:c r="I48" s="27" t="str">
        <x:v>Inferred: customers seeking a moisturizer to improve the look of enlarged pores, uneven texture and firmness, who are comfortable using retinol.</x:v>
      </x:c>
      <x:c r="J48" s="27" t="str">
        <x:v>Moisturizes and helps skin look smoother and firmer while reducing the visible appearance of enlarged pores.</x:v>
      </x:c>
      <x:c r="K48" s="27" t="str">
        <x:v>https://int.mamonde.com/products/pore-shrinker-bakuchiol-cream</x:v>
      </x:c>
      <x:c r="L48" s="27" t="str">
        <x:v>https://global.amoremall.com/products/mamonde-pore-shrinker-bakuchiol-cream</x:v>
      </x:c>
      <x:c r="M48" s="27" t="str">
        <x:v>https://global.amoremall.com/products/mamonde-pore-shrinker-bakuchiol-cream</x:v>
      </x:c>
      <x:c r="N48" s="27" t="str">
        <x:v>Official Global AMORE MALL USD regular reference price; displayed sale $36; international import to U.S.; excludes tax, import charges and shipping</x:v>
      </x:c>
      <x:c r="O48" s="42" t="n">
        <x:v>46300.5</x:v>
      </x:c>
      <x:c r="P48" s="27" t="str">
        <x:v>Winter (aespa)</x:v>
      </x:c>
      <x:c r="Q48" s="27" t="str">
        <x:v>Product campaign</x:v>
      </x:c>
      <x:c r="R48" s="27" t="str">
        <x:v>Exact product</x:v>
      </x:c>
      <x:c r="S48" s="40" t="n">
        <x:v>45212.5</x:v>
      </x:c>
      <x:c r="T48" s="27" t="str">
        <x:v>Pore Shrinker Bakuchiol Cream launched alongside Mamonde's 2023 campaign with aespa's Winter.</x:v>
      </x:c>
      <x:c r="U48" s="27" t="str">
        <x:v>https://stories.amorepacific.com/%EB%A7%88%EB%AA%BD%EB%93%9C-%EC%95%B0%EB%B2%84%EC%84%9C%EB%8D%94-%EC%9C%88%ED%84%B0%EC%99%80-%EB%A6%AC%EB%B8%8C%EB%9E%9C%EB%94%A9-%EC%BA%A0%ED%8E%98%EC%9D%B8-%EC%A0%84%EA%B0%9C/</x:v>
      </x:c>
      <x:c r="V48" s="27" t="str">
        <x:v>Verified dated campaign; current contract not confirmed</x:v>
      </x:c>
      <x:c r="W48" s="27" t="str">
        <x:v>Source publication or campaign date</x:v>
      </x:c>
      <x:c r="X48" s="27" t="str">
        <x:v>Sold out at observed official price source</x:v>
      </x:c>
      <x:c r="Y48" s="27" t="str">
        <x:v>Opened official shop shows exact 60 ml product at $36 versus $40 regular and full INCI matching official international page. This is the Pore Shrinker cream launched in 2023, distinct from the older Bakuchiol Retinol Cream. Shop displays Sold out. Official shipping policy includes U.S. delivery. Winter source verifies launch campaign association, not personal use.</x:v>
      </x:c>
    </x:row>
    <x:row r="49" ht="48" hidden="0" customHeight="1">
      <x:c r="A49" s="37" t="n">
        <x:v>43</x:v>
      </x:c>
      <x:c r="B49" s="26" t="str">
        <x:v>TIRTIR</x:v>
      </x:c>
      <x:c r="C49" s="26" t="str">
        <x:v>Mask Fit Red Cushion — 21N Ivory</x:v>
      </x:c>
      <x:c r="D49" s="26" t="str">
        <x:v>Cushion foundation</x:v>
      </x:c>
      <x:c r="E49" s="26" t="str">
        <x:v>0.63 oz / 18 g; shade 21N Ivory</x:v>
      </x:c>
      <x:c r="F49" s="35" t="n">
        <x:v>25</x:v>
      </x:c>
      <x:c r="G49" s="26" t="str">
        <x:f>IF(F49&lt;=15,"Budget",IF(F49&lt;=30,"Mid-range","Premium"))</x:f>
        <x:v>Mid-range</x:v>
      </x:c>
      <x:c r="H49" s="26" t="str">
        <x:v>Niacinamide; Adenosine; Hibiscus sabdariffa flower extract; Propolis extract; Astaxanthin</x:v>
      </x:c>
      <x:c r="I49" s="26" t="str">
        <x:v>Oily or combination skin; shoppers seeking full coverage and a satin finish. 21N suits a light complexion with neutral undertones; shade matching is personal.</x:v>
      </x:c>
      <x:c r="J49" s="26" t="str">
        <x:v>Even-looking complexion with full coverage and a smooth satin finish.</x:v>
      </x:c>
      <x:c r="K49" s="26" t="str">
        <x:v>https://tirtir.global/products/mask-fit-red-cushion</x:v>
      </x:c>
      <x:c r="L49" s="26" t="str">
        <x:v>https://www.ulta.com/p/mask-fit-red-cushion-pimprod2053403?sku=2642684</x:v>
      </x:c>
      <x:c r="M49" s="26" t="str">
        <x:v>https://www.ulta.com/p/mask-fit-red-cushion-pimprod2053403?sku=2642684</x:v>
      </x:c>
      <x:c r="N49" s="26" t="str">
        <x:v>Regular U.S. Ulta price; subscription discount excluded.</x:v>
      </x:c>
      <x:c r="O49" s="41" t="n">
        <x:v>46300.5</x:v>
      </x:c>
      <x:c r="P49" s="26" t="str">
        <x:v>V (Kim Taehyung) (BTS)</x:v>
      </x:c>
      <x:c r="Q49" s="26" t="str">
        <x:v>Brand ambassador</x:v>
      </x:c>
      <x:c r="R49" s="26" t="str">
        <x:v>Brand-level</x:v>
      </x:c>
      <x:c r="S49" s="39" t="n">
        <x:v>45967.5</x:v>
      </x:c>
      <x:c r="T49" s="26" t="str">
        <x:v>Full-coverage cushion from TIRTIR, which announced BTS V as its brand ambassador in 2025.</x:v>
      </x:c>
      <x:c r="U49" s="26" t="str">
        <x:v>https://tirtir.global/blogs/press/tirtir-paints-new-york-red-demonstrating-its-global-influence</x:v>
      </x:c>
      <x:c r="V49" s="26" t="str">
        <x:v>Verified dated campaign; current contract not confirmed</x:v>
      </x:c>
      <x:c r="W49" s="26" t="str">
        <x:v>Source publication or campaign date</x:v>
      </x:c>
      <x:c r="X49" s="26" t="str">
        <x:v>Not assessed</x:v>
      </x:c>
      <x:c r="Y49" s="26" t="str">
        <x:v>Ulta verifies U.S. 21N SKU, 0.63 oz size, $25 price and full INCI; contains fragrance and bee-derived propolis. No sunscreen claim assigned to this U.S. makeup listing. Customer fit is inferred.</x:v>
      </x:c>
    </x:row>
    <x:row r="50" ht="48" hidden="0" customHeight="1">
      <x:c r="A50" s="38" t="n">
        <x:v>44</x:v>
      </x:c>
      <x:c r="B50" s="27" t="str">
        <x:v>TIRTIR</x:v>
      </x:c>
      <x:c r="C50" s="27" t="str">
        <x:v>Tinted Skin Glow Cushion — 10C Shell</x:v>
      </x:c>
      <x:c r="D50" s="27" t="str">
        <x:v>Cushion foundation / skin tint</x:v>
      </x:c>
      <x:c r="E50" s="27" t="str">
        <x:v>0.56 oz / 16 g; shade 10C Shell</x:v>
      </x:c>
      <x:c r="F50" s="36" t="n">
        <x:v>27</x:v>
      </x:c>
      <x:c r="G50" s="27" t="str">
        <x:f>IF(F50&lt;=15,"Budget",IF(F50&lt;=30,"Mid-range","Premium"))</x:f>
        <x:v>Mid-range</x:v>
      </x:c>
      <x:c r="H50" s="27" t="str">
        <x:v>Hyaluronic acid; Panthenol; Nicotinoyl dipeptide-23 (biome peptide); Ascorbic acid polypeptide (vita peptide); Glycerin</x:v>
      </x:c>
      <x:c r="I50" s="27" t="str">
        <x:v>Normal or dry skin; customers preferring lightweight buildable coverage and a luminous finish. Selected 10C is an example shade; match to individual complexion.</x:v>
      </x:c>
      <x:c r="J50" s="27" t="str">
        <x:v>Lightweight complexion coverage, hydration and a luminous skin-like finish.</x:v>
      </x:c>
      <x:c r="K50" s="27" t="str">
        <x:v>https://tirtir.global/products/tinted-skin-glow-cushion</x:v>
      </x:c>
      <x:c r="L50" s="27" t="str">
        <x:v>https://shop.tiktok.com/us/pdp/tinted-skin-glow-cushion-tirtir-official-lightweight-30-shades/1732533961733411418</x:v>
      </x:c>
      <x:c r="M50" s="27" t="str">
        <x:v>https://tirtir.global/products/tinted-skin-glow-cushion</x:v>
      </x:c>
      <x:c r="N50" s="27" t="str">
        <x:v>Displayed regular USD price at official U.S. TIRTIR store; no compare-at discount shown.</x:v>
      </x:c>
      <x:c r="O50" s="42" t="n">
        <x:v>46300.5</x:v>
      </x:c>
      <x:c r="P50" s="27" t="str">
        <x:v>V (Kim Taehyung) (BTS)</x:v>
      </x:c>
      <x:c r="Q50" s="27" t="str">
        <x:v>Product campaign</x:v>
      </x:c>
      <x:c r="R50" s="27" t="str">
        <x:v>Exact product family; selected U.S. shade/formula not verified</x:v>
      </x:c>
      <x:c r="S50" s="40" t="n">
        <x:v>46260.5</x:v>
      </x:c>
      <x:c r="T50" s="27" t="str">
        <x:v>Lightweight glow cushion from the product family featured in TIRTIR's August 2026 campaign with BTS V.</x:v>
      </x:c>
      <x:c r="U50" s="27" t="str">
        <x:v>https://prtimes.jp/main/html/rd/p/000000075.000127171.html</x:v>
      </x:c>
      <x:c r="V50" s="27" t="str">
        <x:v>Verified dated campaign; current contract not confirmed</x:v>
      </x:c>
      <x:c r="W50" s="27" t="str">
        <x:v>Source publication or campaign date</x:v>
      </x:c>
      <x:c r="X50" s="27" t="str">
        <x:v>Not assessed</x:v>
      </x:c>
      <x:c r="Y50" s="27" t="str">
        <x:v>Official global product page verifies $27 USD, default shade 10C and highlighted ingredients. TIRTIR Inc.'s U.S. TikTok Shop verifies 16 g size, Shell shade name and INCI. The Japanese campaign concerns this product family; its SPF40 claim is not applied to the U.S. listing. Customer fit is inferred.</x:v>
      </x:c>
    </x:row>
    <x:row r="51" ht="36" hidden="0" customHeight="1">
      <x:c r="A51" s="37" t="n">
        <x:v>45</x:v>
      </x:c>
      <x:c r="B51" s="26" t="str">
        <x:v>d'Alba</x:v>
      </x:c>
      <x:c r="C51" s="26" t="str">
        <x:v>White Truffle First Spray Hydrating Glow Mist Serum</x:v>
      </x:c>
      <x:c r="D51" s="26" t="str">
        <x:v>Mist serum</x:v>
      </x:c>
      <x:c r="E51" s="26" t="str">
        <x:v>3.38 fl oz / 100 ml</x:v>
      </x:c>
      <x:c r="F51" s="35" t="n">
        <x:v>26</x:v>
      </x:c>
      <x:c r="G51" s="26" t="str">
        <x:f>IF(F51&lt;=15,"Budget",IF(F51&lt;=30,"Mid-range","Premium"))</x:f>
        <x:v>Mid-range</x:v>
      </x:c>
      <x:c r="H51" s="26" t="str">
        <x:v>White truffle extract (Tuber magnatum); Tocopherol (vitamin E); Niacinamide; Avocado oil; Sunflower seed oil</x:v>
      </x:c>
      <x:c r="I51" s="26" t="str">
        <x:v>Normal, dry or dehydrated skin; customers wanting a portable dewy mist or makeup refresh and comfortable with fragrance.</x:v>
      </x:c>
      <x:c r="J51" s="26" t="str">
        <x:v>Hydrate, soften and give skin a dewy glow; refresh the appearance of makeup.</x:v>
      </x:c>
      <x:c r="K51" s="26" t="str">
        <x:v>https://www.ulta.com/p/white-truffle-first-spray-hydrating-glow-mist-serum-pimprod2056403?sku=2650461</x:v>
      </x:c>
      <x:c r="L51" s="26" t="str">
        <x:v>https://www.ulta.com/p/white-truffle-first-spray-hydrating-glow-mist-serum-pimprod2056403?sku=2650461</x:v>
      </x:c>
      <x:c r="M51" s="26" t="str">
        <x:v>https://www.ulta.com/p/white-truffle-first-spray-hydrating-glow-mist-serum-pimprod2056403?sku=2650461</x:v>
      </x:c>
      <x:c r="N51" s="26" t="str">
        <x:v>Regular U.S. Ulta price $26; observed $19.50 promotional price excluded.</x:v>
      </x:c>
      <x:c r="O51" s="41" t="n">
        <x:v>46300.5</x:v>
      </x:c>
      <x:c r="P51" s="26" t="str">
        <x:v>Hoshi (Kwon Soonyoung) (SEVENTEEN)</x:v>
      </x:c>
      <x:c r="Q51" s="26" t="str">
        <x:v>Brand ambassador</x:v>
      </x:c>
      <x:c r="R51" s="26" t="str">
        <x:v>Brand-level</x:v>
      </x:c>
      <x:c r="S51" s="39" t="n">
        <x:v>45443.5</x:v>
      </x:c>
      <x:c r="T51" s="26" t="str">
        <x:v>Dewy facial mist from d'Alba, which named SEVENTEEN's Hoshi its Asian Global Brand Ambassador in 2024.</x:v>
      </x:c>
      <x:c r="U51" s="26" t="str">
        <x:v>https://www.globenewswire.com/news-release/2024/05/31/2891283/0/en/d-Alba-BMonument-appointed-HOSHI-as-Asia-Global-Ambassador-accelerating-towards-business-expansion-in-South-East-Asia.html</x:v>
      </x:c>
      <x:c r="V51" s="26" t="str">
        <x:v>Verified dated campaign; current contract not confirmed</x:v>
      </x:c>
      <x:c r="W51" s="26" t="str">
        <x:v>Source publication or campaign date</x:v>
      </x:c>
      <x:c r="X51" s="26" t="str">
        <x:v>Not assessed</x:v>
      </x:c>
      <x:c r="Y51" s="26" t="str">
        <x:v>Authorized U.S. retailer verifies 3.38 oz size, regular/sale prices and INCI for the original First Spray, not the newer Pro peptide version. Contains fragrance. Customer fit is inferred.</x:v>
      </x:c>
    </x:row>
    <x:row r="52" ht="36" hidden="0" customHeight="1">
      <x:c r="A52" s="38" t="n">
        <x:v>46</x:v>
      </x:c>
      <x:c r="B52" s="27" t="str">
        <x:v>d'Alba</x:v>
      </x:c>
      <x:c r="C52" s="27" t="str">
        <x:v>Double Serum &amp; Cream 2-in-1 Moisturizer</x:v>
      </x:c>
      <x:c r="D52" s="27" t="str">
        <x:v>Moisturizer / dual serum and cream</x:v>
      </x:c>
      <x:c r="E52" s="27" t="str">
        <x:v>2.46 oz / 70 g</x:v>
      </x:c>
      <x:c r="F52" s="36" t="n">
        <x:v>42</x:v>
      </x:c>
      <x:c r="G52" s="27" t="str">
        <x:f>IF(F52&lt;=15,"Budget",IF(F52&lt;=30,"Mid-range","Premium"))</x:f>
        <x:v>Premium</x:v>
      </x:c>
      <x:c r="H52" s="27" t="str">
        <x:v>White truffle extract (Tuber magnatum); Tocopherol (vitamin E); Panthenol in Aqua Serum; Centella asiatica extract; Ceramide NP</x:v>
      </x:c>
      <x:c r="I52" s="27" t="str">
        <x:v>Combination or seasonally dry skin; customers who want to vary the balance of a lightweight serum and richer cream.</x:v>
      </x:c>
      <x:c r="J52" s="27" t="str">
        <x:v>Provide adjustable moisture, soften skin and support a comfortable, smoother-looking complexion.</x:v>
      </x:c>
      <x:c r="K52" s="27" t="str">
        <x:v>https://www.ulta.com/p/double-serum-cream-2-in-1-moisturizer-pimprod2056407?sku=2650465</x:v>
      </x:c>
      <x:c r="L52" s="27" t="str">
        <x:v>https://www.ulta.com/p/double-serum-cream-2-in-1-moisturizer-pimprod2056407?sku=2650465</x:v>
      </x:c>
      <x:c r="M52" s="27" t="str">
        <x:v>https://www.ulta.com/p/double-serum-cream-2-in-1-moisturizer-pimprod2056407?sku=2650465</x:v>
      </x:c>
      <x:c r="N52" s="27" t="str">
        <x:v>Regular U.S. Ulta price $42; observed $31.50 promotional price excluded.</x:v>
      </x:c>
      <x:c r="O52" s="42" t="n">
        <x:v>46300.5</x:v>
      </x:c>
      <x:c r="P52" s="27" t="str">
        <x:v>Hoshi (Kwon Soonyoung) (SEVENTEEN)</x:v>
      </x:c>
      <x:c r="Q52" s="27" t="str">
        <x:v>Brand ambassador</x:v>
      </x:c>
      <x:c r="R52" s="27" t="str">
        <x:v>Brand-level</x:v>
      </x:c>
      <x:c r="S52" s="40" t="n">
        <x:v>45443.5</x:v>
      </x:c>
      <x:c r="T52" s="27" t="str">
        <x:v>Customizable dual moisturizer from d'Alba, a brand that appointed SEVENTEEN's Hoshi its Asian ambassador in 2024.</x:v>
      </x:c>
      <x:c r="U52" s="27" t="str">
        <x:v>https://www.globenewswire.com/news-release/2024/05/31/2891283/0/en/d-Alba-BMonument-appointed-HOSHI-as-Asia-Global-Ambassador-accelerating-towards-business-expansion-in-South-East-Asia.html</x:v>
      </x:c>
      <x:c r="V52" s="27" t="str">
        <x:v>Verified dated campaign; current contract not confirmed</x:v>
      </x:c>
      <x:c r="W52" s="27" t="str">
        <x:v>Source publication or campaign date</x:v>
      </x:c>
      <x:c r="X52" s="27" t="str">
        <x:v>Not assessed</x:v>
      </x:c>
      <x:c r="Y52" s="27" t="str">
        <x:v>Ulta verifies regular/sale prices, 2.46 oz size and separate Aqua Serum/Intense Cream INCI. Use this U.S. listing's formula; a 2026 Korean renewal also exists. Both chambers contain fragrance. Customer fit is inferred.</x:v>
      </x:c>
    </x:row>
    <x:row r="53" ht="48" hidden="0" customHeight="1">
      <x:c r="A53" s="37" t="n">
        <x:v>47</x:v>
      </x:c>
      <x:c r="B53" s="26" t="str">
        <x:v>AMUSE</x:v>
      </x:c>
      <x:c r="C53" s="26" t="str">
        <x:v>Jel-Fit Tint — 01 Boksoonga Jelly</x:v>
      </x:c>
      <x:c r="D53" s="26" t="str">
        <x:v>Glossy lip tint</x:v>
      </x:c>
      <x:c r="E53" s="26" t="str">
        <x:v>0.13 oz / 3.8 g; shade 01 Boksoonga Jelly</x:v>
      </x:c>
      <x:c r="F53" s="35" t="n">
        <x:v>19</x:v>
      </x:c>
      <x:c r="G53" s="26" t="str">
        <x:f>IF(F53&lt;=15,"Budget",IF(F53&lt;=30,"Mid-range","Premium"))</x:f>
        <x:v>Mid-range</x:v>
      </x:c>
      <x:c r="H53" s="26" t="str">
        <x:v>Hyaluronic acid (8 forms); Peach fruit extract; Tocopheryl acetate (vitamin E acetate); Squalane</x:v>
      </x:c>
      <x:c r="I53" s="26" t="str">
        <x:v>Lip makeup customers who prefer glossy jelly texture and moisturizing peach-toned color.</x:v>
      </x:c>
      <x:c r="J53" s="26" t="str">
        <x:v>Glossy lip color and a tint stain with moisture and a plump-looking finish.</x:v>
      </x:c>
      <x:c r="K53" s="26" t="str">
        <x:v>https://amuseseoulmakeup.com/products/jel-fit-tint</x:v>
      </x:c>
      <x:c r="L53" s="26" t="str">
        <x:v>https://amuseseoulmakeup.com/products/jel-fit-tint</x:v>
      </x:c>
      <x:c r="M53" s="26" t="str">
        <x:v>https://amuseseoulmakeup.com/products/jel-fit-tint</x:v>
      </x:c>
      <x:c r="N53" s="26" t="str">
        <x:v>Regular displayed USD price at official U.S.-serving AMUSE store; identical repeated prices show no verified markdown.</x:v>
      </x:c>
      <x:c r="O53" s="41" t="n">
        <x:v>46300.5</x:v>
      </x:c>
      <x:c r="P53" s="26" t="str">
        <x:v>Jang Wonyoung (IVE)</x:v>
      </x:c>
      <x:c r="Q53" s="26" t="str">
        <x:v>Product campaign</x:v>
      </x:c>
      <x:c r="R53" s="26" t="str">
        <x:v>Exact product family; selected shade not verified</x:v>
      </x:c>
      <x:c r="S53" s="39" t="n">
        <x:v>45578.5</x:v>
      </x:c>
      <x:c r="T53" s="26" t="str">
        <x:v>Glossy jelly lip tint from the family shown with IVE's Jang Wonyoung in AMUSE's October 2024 promotion.</x:v>
      </x:c>
      <x:c r="U53" s="26" t="str">
        <x:v>https://prtimes.jp/main/html/rd/p/000000006.000140231.html</x:v>
      </x:c>
      <x:c r="V53" s="26" t="str">
        <x:v>Verified dated campaign; current contract not confirmed</x:v>
      </x:c>
      <x:c r="W53" s="26" t="str">
        <x:v>Source publication or campaign date</x:v>
      </x:c>
      <x:c r="X53" s="26" t="str">
        <x:v>Not assessed</x:v>
      </x:c>
      <x:c r="Y53" s="26" t="str">
        <x:v>Official global store verifies $19 USD, shade 01 photos and INCI. Olive Young US confirms exact shade 01 and 3.8 g size: https://us.oliveyoung.com/products/UA58100346 . Contains fragrance. Customer fit is inferred.</x:v>
      </x:c>
    </x:row>
    <x:row r="54" ht="36" hidden="0" customHeight="1">
      <x:c r="A54" s="38" t="n">
        <x:v>48</x:v>
      </x:c>
      <x:c r="B54" s="27" t="str">
        <x:v>AMUSE</x:v>
      </x:c>
      <x:c r="C54" s="27" t="str">
        <x:v>Cheek Tok Tok — 01 Boksoonga Tok</x:v>
      </x:c>
      <x:c r="D54" s="27" t="str">
        <x:v>Liquid blush / cheek stain</x:v>
      </x:c>
      <x:c r="E54" s="27" t="str">
        <x:v>5.5 ml; shade 01 Boksoonga Tok</x:v>
      </x:c>
      <x:c r="F54" s="36" t="n">
        <x:v>14</x:v>
      </x:c>
      <x:c r="G54" s="27" t="str">
        <x:f>IF(F54&lt;=15,"Budget",IF(F54&lt;=30,"Mid-range","Premium"))</x:f>
        <x:v>Budget</x:v>
      </x:c>
      <x:c r="H54" s="27" t="str">
        <x:v>Dimethicone; Diisostearyl malate; Tocopherol (vitamin E); Copper tripeptide-1; Acetyl hexapeptide-8</x:v>
      </x:c>
      <x:c r="I54" s="27" t="str">
        <x:v>Makeup customers who prefer a blendable liquid blush, soft velvet finish and peach-toned cheek color.</x:v>
      </x:c>
      <x:c r="J54" s="27" t="str">
        <x:v>Add a blendable cheek flush with a soft velvet finish; shades can be mixed for customized color.</x:v>
      </x:c>
      <x:c r="K54" s="27" t="str">
        <x:v>https://amuseseoulmakeup.com/products/cheek-tok-tok</x:v>
      </x:c>
      <x:c r="L54" s="27" t="str">
        <x:v>https://amuseseoulmakeup.com/products/cheek-tok-tok</x:v>
      </x:c>
      <x:c r="M54" s="27" t="str">
        <x:v>https://amuseseoulmakeup.com/products/cheek-tok-tok</x:v>
      </x:c>
      <x:c r="N54" s="27" t="str">
        <x:v>Regular displayed USD price at official U.S.-serving AMUSE store; identical repeated prices show no verified markdown.</x:v>
      </x:c>
      <x:c r="O54" s="42" t="n">
        <x:v>46300.5</x:v>
      </x:c>
      <x:c r="P54" s="27" t="str">
        <x:v>Jang Wonyoung (IVE)</x:v>
      </x:c>
      <x:c r="Q54" s="27" t="str">
        <x:v>Brand ambassador</x:v>
      </x:c>
      <x:c r="R54" s="27" t="str">
        <x:v>Brand-level</x:v>
      </x:c>
      <x:c r="S54" s="40" t="n">
        <x:v>45578.5</x:v>
      </x:c>
      <x:c r="T54" s="27" t="str">
        <x:v>Blendable liquid blush from AMUSE, which documented IVE's Jang Wonyoung as its brand model in 2024.</x:v>
      </x:c>
      <x:c r="U54" s="27" t="str">
        <x:v>https://prtimes.jp/main/html/rd/p/000000006.000140231.html</x:v>
      </x:c>
      <x:c r="V54" s="27" t="str">
        <x:v>Verified dated campaign; current contract not confirmed</x:v>
      </x:c>
      <x:c r="W54" s="27" t="str">
        <x:v>Source publication or campaign date</x:v>
      </x:c>
      <x:c r="X54" s="27" t="str">
        <x:v>Not assessed</x:v>
      </x:c>
      <x:c r="Y54" s="27" t="str">
        <x:v>Official global store verifies $14 USD, 5.5 ml, shade 01 photos and INCI. Contains fragrance. Global store advertises U.S. shipping and displays USD; availability can vary. Customer fit is inferred.</x:v>
      </x:c>
    </x:row>
    <x:row r="55" ht="36" hidden="0" customHeight="1">
      <x:c r="A55" s="37" t="n">
        <x:v>49</x:v>
      </x:c>
      <x:c r="B55" s="26" t="str">
        <x:v>espoir</x:v>
      </x:c>
      <x:c r="C55" s="26" t="str">
        <x:v>Couture Lip Tint Glaze</x:v>
      </x:c>
      <x:c r="D55" s="26" t="str">
        <x:v>Lip tint</x:v>
      </x:c>
      <x:c r="E55" s="26" t="str">
        <x:v>4 g / Hushed Cherry</x:v>
      </x:c>
      <x:c r="F55" s="35" t="n">
        <x:v>22</x:v>
      </x:c>
      <x:c r="G55" s="26" t="str">
        <x:f>IF(F55&lt;=15,"Budget",IF(F55&lt;=30,"Mid-range","Premium"))</x:f>
        <x:v>Mid-range</x:v>
      </x:c>
      <x:c r="H55" s="26" t="str">
        <x:v>Diisostearyl Malate; Hydrogenated Polyisobutene; Diglycerin; Squalane</x:v>
      </x:c>
      <x:c r="I55" s="26" t="str">
        <x:v>Customers who prefer glossy cherry lip color and an emollient tint.</x:v>
      </x:c>
      <x:c r="J55" s="26" t="str">
        <x:v>Adds glossy cherry color and a fuller-looking lip finish.</x:v>
      </x:c>
      <x:c r="K55" s="26" t="str">
        <x:v>https://us.oliveyoung.com/products/UA20210772</x:v>
      </x:c>
      <x:c r="L55" s="26" t="str">
        <x:v>https://us.oliveyoung.com/products/UA20210772</x:v>
      </x:c>
      <x:c r="M55" s="26" t="str">
        <x:v>https://us.oliveyoung.com/products/UA20210772</x:v>
      </x:c>
      <x:c r="N55" s="26" t="str">
        <x:v>OLIVE YOUNG US regular list price for 4 g tint; displayed promotional price $18.70. Excludes tax and delivery.</x:v>
      </x:c>
      <x:c r="O55" s="41" t="n">
        <x:v>46300.5</x:v>
      </x:c>
      <x:c r="P55" s="26" t="str">
        <x:v>Winter (aespa)</x:v>
      </x:c>
      <x:c r="Q55" s="26" t="str">
        <x:v>Brand ambassador</x:v>
      </x:c>
      <x:c r="R55" s="26" t="str">
        <x:v>Brand-level</x:v>
      </x:c>
      <x:c r="S55" s="39" t="n">
        <x:v>45285.5</x:v>
      </x:c>
      <x:c r="T55" s="26" t="str">
        <x:v>From espoir, whose 2023 Hushed Cherry campaign featured aespa's Winter.</x:v>
      </x:c>
      <x:c r="U55" s="26" t="str">
        <x:v>https://prtimes.jp/main/html/rd/p/000000001.000134875.html</x:v>
      </x:c>
      <x:c r="V55" s="26" t="str">
        <x:v>Documented December 2023 campaign; current contract and endorsement of the 4 g version unconfirmed.</x:v>
      </x:c>
      <x:c r="W55" s="26" t="str">
        <x:v>Source publication or campaign date</x:v>
      </x:c>
      <x:c r="X55" s="26" t="str">
        <x:v>Add to Bag displayed; individual shade stock requires selection.</x:v>
      </x:c>
      <x:c r="Y55" s="26" t="str">
        <x:v>US listing verifies 4 g, $22 regular price and Hushed Cherry-specific full INCI. Historical Winter campaign described a 5.5 g Hushed Cherry tint; current 4 g version is treated as a brand-level association. Contains fragrance; ingredient concentrations not stated.</x:v>
      </x:c>
    </x:row>
    <x:row r="56" ht="36" hidden="0" customHeight="1">
      <x:c r="A56" s="38" t="n">
        <x:v>50</x:v>
      </x:c>
      <x:c r="B56" s="27" t="str">
        <x:v>espoir</x:v>
      </x:c>
      <x:c r="C56" s="27" t="str">
        <x:v>The Brow Color Fixing Cara</x:v>
      </x:c>
      <x:c r="D56" s="27" t="str">
        <x:v>Brow mascara</x:v>
      </x:c>
      <x:c r="E56" s="27" t="str">
        <x:v>3 g / 02 Taupe</x:v>
      </x:c>
      <x:c r="F56" s="36" t="n">
        <x:v>17</x:v>
      </x:c>
      <x:c r="G56" s="27" t="str">
        <x:f>IF(F56&lt;=15,"Budget",IF(F56&lt;=30,"Mid-range","Premium"))</x:f>
        <x:v>Mid-range</x:v>
      </x:c>
      <x:c r="H56" s="27" t="str">
        <x:v>Isododecane; Trimethylsiloxysilicate; Synthetic Wax; Hydrogenated Polyisobutene; Iron Oxides</x:v>
      </x:c>
      <x:c r="I56" s="27" t="str">
        <x:v>Customers seeking tinted, defined brows in a muted taupe shade.</x:v>
      </x:c>
      <x:c r="J56" s="27" t="str">
        <x:v>Colors and shapes brow hairs with a narrow brush and a fixing finish.</x:v>
      </x:c>
      <x:c r="K56" s="27" t="str">
        <x:v>https://us.oliveyoung.com/products/UA97397134</x:v>
      </x:c>
      <x:c r="L56" s="27" t="str">
        <x:v>https://us.oliveyoung.com/products/UA97397134</x:v>
      </x:c>
      <x:c r="M56" s="27" t="str">
        <x:v>https://us.oliveyoung.com/products/UA97397134</x:v>
      </x:c>
      <x:c r="N56" s="27" t="str">
        <x:v>OLIVE YOUNG US displayed price for 3 g brow mascara. Excludes tax and delivery.</x:v>
      </x:c>
      <x:c r="O56" s="42" t="n">
        <x:v>46300.5</x:v>
      </x:c>
      <x:c r="P56" s="27" t="str">
        <x:v>Winter (aespa)</x:v>
      </x:c>
      <x:c r="Q56" s="27" t="str">
        <x:v>Brand ambassador</x:v>
      </x:c>
      <x:c r="R56" s="27" t="str">
        <x:v>Brand-level</x:v>
      </x:c>
      <x:c r="S56" s="40" t="n">
        <x:v>45285.5</x:v>
      </x:c>
      <x:c r="T56" s="27" t="str">
        <x:v>A brow product from espoir, which appointed aespa's Winter global ambassador in 2023.</x:v>
      </x:c>
      <x:c r="U56" s="27" t="str">
        <x:v>https://prtimes.jp/main/html/rd/p/000000001.000134875.html</x:v>
      </x:c>
      <x:c r="V56" s="27" t="str">
        <x:v>Historical December 2023 appointment; current contract unconfirmed.</x:v>
      </x:c>
      <x:c r="W56" s="27" t="str">
        <x:v>Source publication or campaign date</x:v>
      </x:c>
      <x:c r="X56" s="27" t="str">
        <x:v>Add to Bag displayed; individual shade stock requires selection.</x:v>
      </x:c>
      <x:c r="Y56" s="27" t="str">
        <x:v>US page verifies 3 g, $17 displayed price and 02 Taupe-specific full INCI. Pigments are grouped as iron oxides. Winter evidence establishes a brand association; this exact Taupe mascara is not verified in the campaign.</x:v>
      </x:c>
    </x:row>
    <x:row r="57" ht="60" hidden="0" customHeight="1">
      <x:c r="A57" s="37" t="n">
        <x:v>51</x:v>
      </x:c>
      <x:c r="B57" s="26" t="str">
        <x:v>NATURE REPUBLIC</x:v>
      </x:c>
      <x:c r="C57" s="26" t="str">
        <x:v>Mild &amp; Moisture Aloe Vera Watery Gel</x:v>
      </x:c>
      <x:c r="D57" s="26" t="str">
        <x:v>Face and body gel moisturizer</x:v>
      </x:c>
      <x:c r="E57" s="26" t="str">
        <x:v>300 mL</x:v>
      </x:c>
      <x:c r="F57" s="35" t="n">
        <x:v>9.9</x:v>
      </x:c>
      <x:c r="G57" s="26" t="str">
        <x:f>IF(F57&lt;=15,"Budget",IF(F57&lt;=30,"Mid-range","Premium"))</x:f>
        <x:v>Budget</x:v>
      </x:c>
      <x:c r="H57" s="26" t="str">
        <x:v>Aloe Barbadensis Leaf Juice; Glycerin; Butylene Glycol; Betaine; Sodium Hyaluronate</x:v>
      </x:c>
      <x:c r="I57" s="26" t="str">
        <x:v>Normal or combination skin and customers wanting a lightweight face/body moisturizer.</x:v>
      </x:c>
      <x:c r="J57" s="26" t="str">
        <x:v>Replenishes moisture with a refreshing, quick-absorbing gel finish.</x:v>
      </x:c>
      <x:c r="K57" s="26" t="str">
        <x:v>https://naturerepublic.us/products/soothing-moisture-aloe-vera-92-soothing-gel</x:v>
      </x:c>
      <x:c r="L57" s="26" t="str">
        <x:v>https://www.naturerepublicusa.com/products/4x-soothing-moisture-aloe-vera-92-soothing-gel</x:v>
      </x:c>
      <x:c r="M57" s="26" t="str">
        <x:v>https://naturerepublic.us/products/soothing-moisture-aloe-vera-92-soothing-gel</x:v>
      </x:c>
      <x:c r="N57" s="26" t="str">
        <x:v>Official U.S. store regular price $9.90; displayed sale $4.90. Single 300 mL jar; excludes tax and delivery.</x:v>
      </x:c>
      <x:c r="O57" s="41" t="n">
        <x:v>46300.5</x:v>
      </x:c>
      <x:c r="P57" s="26" t="str">
        <x:v>NCT 127 (NCT 127)</x:v>
      </x:c>
      <x:c r="Q57" s="26" t="str">
        <x:v>Brand ambassador</x:v>
      </x:c>
      <x:c r="R57" s="26" t="str">
        <x:v>Brand-level</x:v>
      </x:c>
      <x:c r="S57" s="39" t="str">
        <x:v>2020-04</x:v>
      </x:c>
      <x:c r="T57" s="26" t="str">
        <x:v>From Nature Republic, which partnered with NCT 127 as brand models in 2020.</x:v>
      </x:c>
      <x:c r="U57" s="26" t="str">
        <x:v>https://image2018.naturerepublic.com/brand/brand</x:v>
      </x:c>
      <x:c r="V57" s="26" t="str">
        <x:v>Historical partnership documented from 2020; current contract unconfirmed.</x:v>
      </x:c>
      <x:c r="W57" s="26" t="str">
        <x:v>Source month only</x:v>
      </x:c>
      <x:c r="X57" s="26" t="str">
        <x:v>Add to Bag displayed at official U.S. store.</x:v>
      </x:c>
      <x:c r="Y57" s="26" t="str">
        <x:v>Official U.S. page verifies 300 mL and regular/sale prices. Separate brand USA bundle page supplies full INCI for the same renamed gel and explicitly equates the former Aloe Vera 92% gel with Mild &amp; Moisture Watery Gel. Contains alcohol and fragrance. The brand's 92% claim refers to an aloe ingredient blend; no pure-aloe percentage is asserted here.</x:v>
      </x:c>
    </x:row>
    <x:row r="58" ht="36" hidden="0" customHeight="1">
      <x:c r="A58" s="38" t="n">
        <x:v>52</x:v>
      </x:c>
      <x:c r="B58" s="27" t="str">
        <x:v>NATURE REPUBLIC</x:v>
      </x:c>
      <x:c r="C58" s="27" t="str">
        <x:v>Vitapair C Toner</x:v>
      </x:c>
      <x:c r="D58" s="27" t="str">
        <x:v>Toner</x:v>
      </x:c>
      <x:c r="E58" s="27" t="str">
        <x:v>300 mL</x:v>
      </x:c>
      <x:c r="F58" s="36" t="n">
        <x:v>25.9</x:v>
      </x:c>
      <x:c r="G58" s="27" t="str">
        <x:f>IF(F58&lt;=15,"Budget",IF(F58&lt;=30,"Mid-range","Premium"))</x:f>
        <x:v>Mid-range</x:v>
      </x:c>
      <x:c r="H58" s="27" t="str">
        <x:v>Niacinamide; Citrus Limon (Lemon) Fruit Extract; Glycerin; Centella Asiatica Extract; Panthenol</x:v>
      </x:c>
      <x:c r="I58" s="27" t="str">
        <x:v>Combination skin and customers seeking lightweight hydration for dull-looking, uneven-looking skin.</x:v>
      </x:c>
      <x:c r="J58" s="27" t="str">
        <x:v>Hydrates and helps skin look smoother and brighter before subsequent skincare steps.</x:v>
      </x:c>
      <x:c r="K58" s="27" t="str">
        <x:v>https://naturerepublic.us/products/vitapair-c-toner300ml</x:v>
      </x:c>
      <x:c r="L58" s="27" t="str">
        <x:v>https://www.naturerepublicusa.com/collections/all/products/copy-of-vitapair-c-toner-150ml</x:v>
      </x:c>
      <x:c r="M58" s="27" t="str">
        <x:v>https://naturerepublic.us/products/vitapair-c-toner300ml</x:v>
      </x:c>
      <x:c r="N58" s="27" t="str">
        <x:v>Official U.S. store displayed price; product is sold out. Excludes tax and delivery.</x:v>
      </x:c>
      <x:c r="O58" s="42" t="n">
        <x:v>46300.5</x:v>
      </x:c>
      <x:c r="P58" s="27" t="str">
        <x:v>NCT 127 (NCT 127)</x:v>
      </x:c>
      <x:c r="Q58" s="27" t="str">
        <x:v>Brand ambassador</x:v>
      </x:c>
      <x:c r="R58" s="27" t="str">
        <x:v>Brand-level</x:v>
      </x:c>
      <x:c r="S58" s="40" t="str">
        <x:v>2020-04</x:v>
      </x:c>
      <x:c r="T58" s="27" t="str">
        <x:v>A toner from Nature Republic, the brand that partnered with NCT 127 in 2020.</x:v>
      </x:c>
      <x:c r="U58" s="27" t="str">
        <x:v>https://image2018.naturerepublic.com/brand/brand</x:v>
      </x:c>
      <x:c r="V58" s="27" t="str">
        <x:v>Historical April 2020 contract; current contract unconfirmed.</x:v>
      </x:c>
      <x:c r="W58" s="27" t="str">
        <x:v>Source month only</x:v>
      </x:c>
      <x:c r="X58" s="27" t="str">
        <x:v>Sold out at the official U.S. price source.</x:v>
      </x:c>
      <x:c r="Y58" s="27" t="str">
        <x:v>Official U.S. page verifies 300 mL, $25.90 and several key ingredients. Separate brand USA page gives full INCI for 300 mL. Contains fragrance; vitamin C and acid percentages are not stated. Exact toner endorsement by NCT 127 is unverified.</x:v>
      </x:c>
    </x:row>
    <x:row r="59" ht="60" hidden="0" customHeight="1">
      <x:c r="A59" s="37" t="n">
        <x:v>53</x:v>
      </x:c>
      <x:c r="B59" s="26" t="str">
        <x:v>NACIFIC</x:v>
      </x:c>
      <x:c r="C59" s="26" t="str">
        <x:v>Fresh Herb Origin Serum</x:v>
      </x:c>
      <x:c r="D59" s="26" t="str">
        <x:v>Serum</x:v>
      </x:c>
      <x:c r="E59" s="26" t="str">
        <x:v>50 mL</x:v>
      </x:c>
      <x:c r="F59" s="35" t="n">
        <x:v>26</x:v>
      </x:c>
      <x:c r="G59" s="26" t="str">
        <x:f>IF(F59&lt;=15,"Budget",IF(F59&lt;=30,"Mid-range","Premium"))</x:f>
        <x:v>Mid-range</x:v>
      </x:c>
      <x:c r="H59" s="26" t="str">
        <x:v>Glycerin; Hydrogenated Polydecene; Camellia Japonica Flower Extract; Tocopheryl Acetate</x:v>
      </x:c>
      <x:c r="I59" s="26" t="str">
        <x:v>Normal or dry skin and customers seeking a nourishing oil-and-water serum for dull-looking skin.</x:v>
      </x:c>
      <x:c r="J59" s="26" t="str">
        <x:v>Adds moisture and nourishment for a smoother, more radiant-looking complexion.</x:v>
      </x:c>
      <x:c r="K59" s="26" t="str">
        <x:v>https://en.nacific.com/product/soothing-must-havefresh-herb-origin-serum/635/category/279/display/1/</x:v>
      </x:c>
      <x:c r="L59" s="26" t="str">
        <x:v>https://nacific.com.au/products/fresh-herb-origin-serum</x:v>
      </x:c>
      <x:c r="M59" s="26" t="str">
        <x:v>https://en.nacific.com/category/serummist/279/</x:v>
      </x:c>
      <x:c r="N59" s="26" t="str">
        <x:v>Official global store regular USD reference price; displayed sale $20.80. Available for international shipping; not a verified domestic U.S. checkout price. Excludes tax, duties and delivery.</x:v>
      </x:c>
      <x:c r="O59" s="41" t="n">
        <x:v>46300.5</x:v>
      </x:c>
      <x:c r="P59" s="26" t="str">
        <x:v>Stray Kids (Stray Kids)</x:v>
      </x:c>
      <x:c r="Q59" s="26" t="str">
        <x:v>Product campaign</x:v>
      </x:c>
      <x:c r="R59" s="26" t="str">
        <x:v>Brand-level</x:v>
      </x:c>
      <x:c r="S59" s="39" t="n">
        <x:v>44545.5</x:v>
      </x:c>
      <x:c r="T59" s="26" t="str">
        <x:v>NACIFIC included Fresh Herb Origin Serum in a Stray Kids photocard promotion documented in 2021.</x:v>
      </x:c>
      <x:c r="U59" s="26" t="str">
        <x:v>https://m.nacific.com/skin-skin33/article/news/2/76373/page/2/</x:v>
      </x:c>
      <x:c r="V59" s="26" t="str">
        <x:v>Historical 2021 promotion; current contract, promotion and exact current-formula endorsement unconfirmed.</x:v>
      </x:c>
      <x:c r="W59" s="26" t="str">
        <x:v>Source publication or campaign date</x:v>
      </x:c>
      <x:c r="X59" s="26" t="str">
        <x:v>Priced for purchase in official global catalog; U.S. checkout stock unconfirmed.</x:v>
      </x:c>
      <x:c r="Y59" s="26" t="str">
        <x:v>Official global catalog reopened with $26 regular/$20.80 sale. Brand AU page verifies 50 mL option and full INCI; listed key ingredients are also present in iHerb's U.S. 50 mL INCI (https://www.iherb.com/pr/nacific-fresh-herb-origin-serum-1-69-fl-oz-50-ml/83908). Regional/reformulated lists differ, so aloe percentages are omitted. Contains fragrant botanical oils. Current formula is not verified identical to the 2021 campaign.</x:v>
      </x:c>
    </x:row>
    <x:row r="60" ht="48" hidden="0" customHeight="1">
      <x:c r="A60" s="38" t="n">
        <x:v>54</x:v>
      </x:c>
      <x:c r="B60" s="27" t="str">
        <x:v>NACIFIC</x:v>
      </x:c>
      <x:c r="C60" s="27" t="str">
        <x:v>Fresh Herb Origin Cream</x:v>
      </x:c>
      <x:c r="D60" s="27" t="str">
        <x:v>Cream moisturizer</x:v>
      </x:c>
      <x:c r="E60" s="27" t="str">
        <x:v>50 mL</x:v>
      </x:c>
      <x:c r="F60" s="36" t="n">
        <x:v>27</x:v>
      </x:c>
      <x:c r="G60" s="27" t="str">
        <x:f>IF(F60&lt;=15,"Budget",IF(F60&lt;=30,"Mid-range","Premium"))</x:f>
        <x:v>Mid-range</x:v>
      </x:c>
      <x:c r="H60" s="27" t="str">
        <x:v>Anthemis Nobilis Flower Water; Glycerin; Niacinamide; Butyrospermum Parkii (Shea) Butter; Caprylic/Capric Triglyceride</x:v>
      </x:c>
      <x:c r="I60" s="27" t="str">
        <x:v>Normal or dry skin and customers seeking a nourishing cream to soften dryness.</x:v>
      </x:c>
      <x:c r="J60" s="27" t="str">
        <x:v>Moisturizes, softens and comforts skin while supporting a smoother-looking complexion.</x:v>
      </x:c>
      <x:c r="K60" s="27" t="str">
        <x:v>https://en.nacific.com/product/soothing-must-havefresh-herb-origin-cream/637/category/280/display/1/</x:v>
      </x:c>
      <x:c r="L60" s="27" t="str">
        <x:v>https://nacific.com.au/products/fresh-herb-origin-cream</x:v>
      </x:c>
      <x:c r="M60" s="27" t="str">
        <x:v>https://en.nacific.com/category/cream/280/</x:v>
      </x:c>
      <x:c r="N60" s="27" t="str">
        <x:v>Official global store regular USD reference price; displayed sale $19.90. International shipping offered; not a verified domestic U.S. checkout price. Excludes tax, duties and delivery.</x:v>
      </x:c>
      <x:c r="O60" s="42" t="n">
        <x:v>46300.5</x:v>
      </x:c>
      <x:c r="P60" s="27" t="str">
        <x:v>Stray Kids (Stray Kids)</x:v>
      </x:c>
      <x:c r="Q60" s="27" t="str">
        <x:v>Brand ambassador</x:v>
      </x:c>
      <x:c r="R60" s="27" t="str">
        <x:v>Brand-level</x:v>
      </x:c>
      <x:c r="S60" s="40" t="n">
        <x:v>44545.5</x:v>
      </x:c>
      <x:c r="T60" s="27" t="str">
        <x:v>A moisturizer from NACIFIC, which announced Stray Kids as brand models in 2021.</x:v>
      </x:c>
      <x:c r="U60" s="27" t="str">
        <x:v>https://nacific.com/article/news/2/76372/page/2/</x:v>
      </x:c>
      <x:c r="V60" s="27" t="str">
        <x:v>Historical 2021 brand-model announcement; current contract unconfirmed.</x:v>
      </x:c>
      <x:c r="W60" s="27" t="str">
        <x:v>Source publication or campaign date</x:v>
      </x:c>
      <x:c r="X60" s="27" t="str">
        <x:v>Priced for purchase in official global catalog; U.S. checkout stock unconfirmed.</x:v>
      </x:c>
      <x:c r="Y60" s="27" t="str">
        <x:v>Official global catalog lists $27 regular/$19.90 sale. Brand AU page verifies 50 mL and full INCI; concentrations are omitted because regional formula equivalence is unconfirmed. Formula contains bergamot oil. Brand ambassador source supports Stray Kids brand association, not exact cream use or endorsement.</x:v>
      </x:c>
    </x:row>
    <x:row r="61" ht="36" hidden="0" customHeight="1">
      <x:c r="A61" s="37" t="n">
        <x:v>55</x:v>
      </x:c>
      <x:c r="B61" s="26" t="str">
        <x:v>MISSHA</x:v>
      </x:c>
      <x:c r="C61" s="26" t="str">
        <x:v>Time Revolution The First Essence 5X</x:v>
      </x:c>
      <x:c r="D61" s="26" t="str">
        <x:v>Hydrating essence</x:v>
      </x:c>
      <x:c r="E61" s="26" t="str">
        <x:v>150 ml / 5.07 fl oz</x:v>
      </x:c>
      <x:c r="F61" s="35" t="n">
        <x:v>39</x:v>
      </x:c>
      <x:c r="G61" s="26" t="str">
        <x:f>IF(F61&lt;=15,"Budget",IF(F61&lt;=30,"Mid-range","Premium"))</x:f>
        <x:v>Premium</x:v>
      </x:c>
      <x:c r="H61" s="26" t="str">
        <x:v>Fermented cica yeast extract; Niacinamide; Ceramide NP; Glycerin</x:v>
      </x:c>
      <x:c r="I61" s="26" t="str">
        <x:v>Normal, dry or dull skin; customers seeking a light essence for hydration and a brighter-looking complexion (inferred).</x:v>
      </x:c>
      <x:c r="J61" s="26" t="str">
        <x:v>Hydrates, softens uneven-looking texture and helps skin look brighter and smoother.</x:v>
      </x:c>
      <x:c r="K61" s="26" t="str">
        <x:v>https://misshaus.com/products/time-revolution-the-first-essence-5x</x:v>
      </x:c>
      <x:c r="L61" s="26" t="str">
        <x:v>https://misshaus.com/products/time-revolution-the-first-essence-5x</x:v>
      </x:c>
      <x:c r="M61" s="26" t="str">
        <x:v>https://misshaus.com/products/time-revolution-the-first-essence-5x</x:v>
      </x:c>
      <x:c r="N61" s="26" t="str">
        <x:v>Official U.S. regular reference price; displayed $33.15 promotional price excluded. Tax and shipping excluded.</x:v>
      </x:c>
      <x:c r="O61" s="41" t="n">
        <x:v>46300.5</x:v>
      </x:c>
      <x:c r="P61" s="26" t="str">
        <x:v>Sana (TWICE)</x:v>
      </x:c>
      <x:c r="Q61" s="26" t="str">
        <x:v>Brand campaign model / muse</x:v>
      </x:c>
      <x:c r="R61" s="26" t="str">
        <x:v>Brand-level</x:v>
      </x:c>
      <x:c r="S61" s="39" t="n">
        <x:v>45008.5</x:v>
      </x:c>
      <x:c r="T61" s="26" t="str">
        <x:v>From MISSHA, the brand featured in TWICE Sana's 2023 Japan muse campaign.</x:v>
      </x:c>
      <x:c r="U61" s="26" t="str">
        <x:v>https://prtimes.jp/main/html/rd/p/000000107.000023609.html</x:v>
      </x:c>
      <x:c r="V61" s="26" t="str">
        <x:v>Dated campaign verified; current contract unconfirmed.</x:v>
      </x:c>
      <x:c r="W61" s="26" t="str">
        <x:v>Source publication or campaign date</x:v>
      </x:c>
      <x:c r="X61" s="26" t="str">
        <x:v>Not assessed</x:v>
      </x:c>
      <x:c r="Y61" s="26" t="str">
        <x:v>Opened official U.S. page confirms 150 ml, $39 regular/$33.15 sale, and all four key ingredients. Manufacturer outcome timelines are omitted. K-pop evidence is a brand-level Japan campaign, without proof that Sana personally uses this essence.</x:v>
      </x:c>
    </x:row>
    <x:row r="62" ht="48" hidden="0" customHeight="1">
      <x:c r="A62" s="38" t="n">
        <x:v>56</x:v>
      </x:c>
      <x:c r="B62" s="27" t="str">
        <x:v>MISSHA</x:v>
      </x:c>
      <x:c r="C62" s="27" t="str">
        <x:v>Vita C Plus Spot Correcting &amp; Firming Ampoule</x:v>
      </x:c>
      <x:c r="D62" s="27" t="str">
        <x:v>Brightening serum / ampoule</x:v>
      </x:c>
      <x:c r="E62" s="27" t="str">
        <x:v>30 ml / 1.01 fl oz</x:v>
      </x:c>
      <x:c r="F62" s="36" t="n">
        <x:v>30</x:v>
      </x:c>
      <x:c r="G62" s="27" t="str">
        <x:f>IF(F62&lt;=15,"Budget",IF(F62&lt;=30,"Mid-range","Premium"))</x:f>
        <x:v>Mid-range</x:v>
      </x:c>
      <x:c r="H62" s="27" t="str">
        <x:v>3-O-Ethyl ascorbic acid; Ascorbic acid; Tranexamic acid; Niacinamide; Hydrolyzed collagen</x:v>
      </x:c>
      <x:c r="I62" s="27" t="str">
        <x:v>Dull skin or uneven-looking tone and visible dark spots; customers comfortable with a vitamin C serum and botanical oils (inferred).</x:v>
      </x:c>
      <x:c r="J62" s="27" t="str">
        <x:v>Helps brighten uneven-looking tone and soften the appearance of dark spots and fine lines.</x:v>
      </x:c>
      <x:c r="K62" s="27" t="str">
        <x:v>https://misshaus.com/products/vita-c-plus-spot-correcting-firming-ampoule-30ml</x:v>
      </x:c>
      <x:c r="L62" s="27" t="str">
        <x:v>https://misshaus.com/products/vita-c-plus-spot-correcting-firming-ampoule-30ml</x:v>
      </x:c>
      <x:c r="M62" s="27" t="str">
        <x:v>https://misshaus.com/products/vita-c-plus-spot-correcting-firming-ampoule-30ml</x:v>
      </x:c>
      <x:c r="N62" s="27" t="str">
        <x:v>Official U.S. regular reference price for 30 ml; displayed $25.50 promotional price excluded. Tax and shipping excluded.</x:v>
      </x:c>
      <x:c r="O62" s="42" t="n">
        <x:v>46300.5</x:v>
      </x:c>
      <x:c r="P62" s="27" t="str">
        <x:v>Sana (TWICE)</x:v>
      </x:c>
      <x:c r="Q62" s="27" t="str">
        <x:v>Product campaign</x:v>
      </x:c>
      <x:c r="R62" s="27" t="str">
        <x:v>Product family; U.S. formula unverified</x:v>
      </x:c>
      <x:c r="S62" s="40" t="n">
        <x:v>45008.5</x:v>
      </x:c>
      <x:c r="T62" s="27" t="str">
        <x:v>MISSHA's Vita C Plus serum family appeared in TWICE Sana's 2023 Japan campaign.</x:v>
      </x:c>
      <x:c r="U62" s="27" t="str">
        <x:v>https://prtimes.jp/main/html/rd/p/000000107.000023609.html</x:v>
      </x:c>
      <x:c r="V62" s="27" t="str">
        <x:v>Dated campaign verified; current contract unconfirmed.</x:v>
      </x:c>
      <x:c r="W62" s="27" t="str">
        <x:v>Source publication or campaign date</x:v>
      </x:c>
      <x:c r="X62" s="27" t="str">
        <x:v>Not assessed</x:v>
      </x:c>
      <x:c r="Y62" s="27" t="str">
        <x:v>Official U.S. page confirms $30, 1.01 fl oz and full INCI; 30 ml appears in the official SKU URL. '99% pure vitamin C' describes ingredient purity, not finished-product concentration. Formula contains botanical essential oils. Campaign source names Japan's Vita C Plus serum; equivalence to this U.S. formula is unverified.</x:v>
      </x:c>
    </x:row>
  </x:sheetData>
  <x:conditionalFormatting sqref="G7:G42">
    <x:cfRule type="containsText" dxfId="0" priority="1" operator="containsText" text="Budget"/>
    <x:cfRule type="containsText" dxfId="1" priority="2" operator="containsText" text="Premium"/>
  </x:conditionalFormatting>
  <x:conditionalFormatting sqref="G43:G62">
    <x:cfRule type="containsText" dxfId="2" priority="3" operator="containsText" text="Budget"/>
    <x:cfRule type="containsText" dxfId="3" priority="4" operator="containsText" text="Premium"/>
  </x:conditionalFormatting>
  <x:pageMargins left="0.7" right="0.7" top="0.75" bottom="0.75" header="0.3" footer="0.3"/>
  <x:tableParts count="1">
    <x:tablePart xmlns:r="http://schemas.openxmlformats.org/officeDocument/2006/relationships" r:id="Rd82ffebcd55a4e56"/>
  </x:tableParts>
</x:worksheet>
</file>

<file path=xl/worksheets/sheet2.xml><?xml version="1.0" encoding="utf-8"?>
<x:worksheet xmlns:x="http://schemas.openxmlformats.org/spreadsheetml/2006/main">
  <x:sheetPr>
    <x:tabColor rgb="FF94708B"/>
  </x:sheetPr>
  <x:sheetViews>
    <x:sheetView showGridLines="0" workbookViewId="0">
      <x:pane xSplit="3" ySplit="6" topLeftCell="D7" activePane="bottomRight" state="frozen"/>
    </x:sheetView>
  </x:sheetViews>
  <x:sheetFormatPr defaultRowHeight="15"/>
  <x:cols>
    <x:col min="1" max="1" width="10" hidden="0" customWidth="1"/>
    <x:col min="2" max="2" width="18" hidden="0" customWidth="1"/>
    <x:col min="3" max="3" width="42" hidden="0" customWidth="1"/>
    <x:col min="4" max="4" width="12" hidden="0" customWidth="1"/>
    <x:col min="5" max="5" width="28" hidden="0" customWidth="1"/>
    <x:col min="6" max="6" width="27" hidden="0" customWidth="1"/>
    <x:col min="7" max="7" width="39" hidden="0" customWidth="1"/>
    <x:col min="8" max="8" width="54" hidden="0" customWidth="1"/>
    <x:col min="9" max="9" width="15" hidden="0" customWidth="1"/>
    <x:col min="10" max="10" width="68" hidden="0" customWidth="1"/>
    <x:col min="11" max="11" width="40" hidden="0" customWidth="1"/>
    <x:col min="12" max="12" width="32" hidden="0" customWidth="1"/>
    <x:col min="13" max="13" width="18" hidden="0" customWidth="1"/>
  </x:cols>
  <x:sheetData>
    <x:row r="1">
      <x:c r="A1" s="1"/>
      <x:c r="B1" s="1"/>
      <x:c r="C1" s="1"/>
      <x:c r="D1" s="1"/>
      <x:c r="E1" s="1"/>
      <x:c r="F1" s="1"/>
      <x:c r="G1" s="1"/>
      <x:c r="H1" s="1"/>
      <x:c r="I1" s="1"/>
      <x:c r="J1" s="1"/>
      <x:c r="K1" s="1"/>
      <x:c r="L1" s="1"/>
      <x:c r="M1" s="1"/>
    </x:row>
    <x:row r="2" ht="28" customHeight="1">
      <x:c r="A2" s="44" t="str">
        <x:v>K-pop campaign connections</x:v>
      </x:c>
      <x:c r="B2" s="45"/>
      <x:c r="C2" s="45"/>
      <x:c r="D2" s="45"/>
      <x:c r="E2" s="45"/>
      <x:c r="F2" s="45"/>
      <x:c r="G2" s="45"/>
      <x:c r="H2" s="45"/>
      <x:c r="I2" s="1"/>
      <x:c r="J2" s="1"/>
      <x:c r="K2" s="1"/>
      <x:c r="L2" s="1"/>
      <x:c r="M2" s="1"/>
    </x:row>
    <x:row r="3" ht="19" customHeight="1">
      <x:c r="A3" s="46" t="str">
        <x:v>23 products across 12 brands have sourced K-pop connections. Dates refer to the cited evidence.</x:v>
      </x:c>
      <x:c r="B3" s="46"/>
      <x:c r="C3" s="46"/>
      <x:c r="D3" s="46"/>
      <x:c r="E3" s="46"/>
      <x:c r="F3" s="46"/>
      <x:c r="G3" s="46"/>
      <x:c r="H3" s="46"/>
      <x:c r="I3" s="1"/>
      <x:c r="J3" s="1"/>
      <x:c r="K3" s="1"/>
      <x:c r="L3" s="1"/>
      <x:c r="M3" s="1"/>
    </x:row>
    <x:row r="4" ht="19" customHeight="1">
      <x:c r="A4" s="46" t="str">
        <x:v>Advertising, brand relationships and artist-reported use are distinguished. See Scope for exact-product, shade and regional formula limits.</x:v>
      </x:c>
      <x:c r="B4" s="46"/>
      <x:c r="C4" s="46"/>
      <x:c r="D4" s="46"/>
      <x:c r="E4" s="46"/>
      <x:c r="F4" s="46"/>
      <x:c r="G4" s="46"/>
      <x:c r="H4" s="46"/>
      <x:c r="I4" s="1"/>
      <x:c r="J4" s="1"/>
      <x:c r="K4" s="1"/>
      <x:c r="L4" s="1"/>
      <x:c r="M4" s="1"/>
    </x:row>
    <x:row r="5" ht="19" customHeight="1">
      <x:c r="A5" s="46" t="str">
        <x:v>Historical announcements establish dated relationships. Current contract status and personal use are stated only to the extent supported.</x:v>
      </x:c>
      <x:c r="B5" s="46"/>
      <x:c r="C5" s="46"/>
      <x:c r="D5" s="46"/>
      <x:c r="E5" s="46"/>
      <x:c r="F5" s="46"/>
      <x:c r="G5" s="46"/>
      <x:c r="H5" s="46"/>
      <x:c r="I5" s="1"/>
      <x:c r="J5" s="1"/>
      <x:c r="K5" s="1"/>
      <x:c r="L5" s="1"/>
      <x:c r="M5" s="1"/>
    </x:row>
    <x:row r="6" ht="33" customHeight="1">
      <x:c r="A6" s="32" t="str">
        <x:v>Catalog no.</x:v>
      </x:c>
      <x:c r="B6" s="32" t="str">
        <x:v>Brand</x:v>
      </x:c>
      <x:c r="C6" s="32" t="str">
        <x:v>Product</x:v>
      </x:c>
      <x:c r="D6" s="32" t="str">
        <x:v>Price (USD)</x:v>
      </x:c>
      <x:c r="E6" s="32" t="str">
        <x:v>Artist / group</x:v>
      </x:c>
      <x:c r="F6" s="32" t="str">
        <x:v>Evidence type</x:v>
      </x:c>
      <x:c r="G6" s="32" t="str">
        <x:v>Association scope</x:v>
      </x:c>
      <x:c r="H6" s="32" t="str">
        <x:v>Suggested selling point</x:v>
      </x:c>
      <x:c r="I6" s="32" t="str">
        <x:v>Evidence date</x:v>
      </x:c>
      <x:c r="J6" s="32" t="str">
        <x:v>Source</x:v>
      </x:c>
      <x:c r="K6" s="32" t="str">
        <x:v>Link status</x:v>
      </x:c>
      <x:c r="L6" s="32" t="str">
        <x:v>Date basis</x:v>
      </x:c>
      <x:c r="M6" s="32" t="str">
        <x:v>Campaign market</x:v>
      </x:c>
    </x:row>
    <x:row r="7" ht="24" hidden="0" customHeight="1">
      <x:c r="A7" s="26" t="n">
        <x:v>33</x:v>
      </x:c>
      <x:c r="B7" s="26" t="str">
        <x:v>LANEIGE</x:v>
      </x:c>
      <x:c r="C7" s="26" t="str">
        <x:v>Lip Sleeping Mask</x:v>
      </x:c>
      <x:c r="D7" s="35" t="n">
        <x:v>24</x:v>
      </x:c>
      <x:c r="E7" s="26" t="str">
        <x:v>Jin (BTS)</x:v>
      </x:c>
      <x:c r="F7" s="26" t="str">
        <x:v>Brand ambassador</x:v>
      </x:c>
      <x:c r="G7" s="26" t="str">
        <x:v>Brand-level</x:v>
      </x:c>
      <x:c r="H7" s="26" t="str">
        <x:v>From LANEIGE, which named BTS Jin its global ambassador in 2024.</x:v>
      </x:c>
      <x:c r="I7" s="39" t="n">
        <x:v>45565.5</x:v>
      </x:c>
      <x:c r="J7" s="26" t="str">
        <x:v>https://stories.amorepacific.com/en/amorepacific-laneige-appoints-bts-jin-as-global-ambassador/</x:v>
      </x:c>
      <x:c r="K7" s="26" t="str">
        <x:v>Dated appointment verified; current contract unconfirmed.</x:v>
      </x:c>
      <x:c r="L7" s="26" t="str">
        <x:v>Source publication or campaign date</x:v>
      </x:c>
      <x:c r="M7" s="26" t="str">
        <x:v>Global</x:v>
      </x:c>
    </x:row>
    <x:row r="8" ht="24" hidden="0" customHeight="1">
      <x:c r="A8" s="27" t="n">
        <x:v>34</x:v>
      </x:c>
      <x:c r="B8" s="27" t="str">
        <x:v>LANEIGE</x:v>
      </x:c>
      <x:c r="C8" s="27" t="str">
        <x:v>Water Bank Blue Hyaluronic Cream Moisturizer</x:v>
      </x:c>
      <x:c r="D8" s="36" t="n">
        <x:v>38</x:v>
      </x:c>
      <x:c r="E8" s="27" t="str">
        <x:v>Jin (BTS)</x:v>
      </x:c>
      <x:c r="F8" s="27" t="str">
        <x:v>Brand ambassador</x:v>
      </x:c>
      <x:c r="G8" s="27" t="str">
        <x:v>Brand-level</x:v>
      </x:c>
      <x:c r="H8" s="27" t="str">
        <x:v>From LANEIGE, which named BTS Jin its global ambassador in 2024.</x:v>
      </x:c>
      <x:c r="I8" s="40" t="n">
        <x:v>45565.5</x:v>
      </x:c>
      <x:c r="J8" s="27" t="str">
        <x:v>https://stories.amorepacific.com/en/amorepacific-laneige-appoints-bts-jin-as-global-ambassador/</x:v>
      </x:c>
      <x:c r="K8" s="27" t="str">
        <x:v>Dated appointment verified; current contract unconfirmed.</x:v>
      </x:c>
      <x:c r="L8" s="27" t="str">
        <x:v>Source publication or campaign date</x:v>
      </x:c>
      <x:c r="M8" s="27" t="str">
        <x:v>Global</x:v>
      </x:c>
    </x:row>
    <x:row r="9" ht="24" hidden="0" customHeight="1">
      <x:c r="A9" s="26" t="n">
        <x:v>35</x:v>
      </x:c>
      <x:c r="B9" s="26" t="str">
        <x:v>innisfree</x:v>
      </x:c>
      <x:c r="C9" s="26" t="str">
        <x:v>Green Tea Seed Hyaluronic Acid Cream</x:v>
      </x:c>
      <x:c r="D9" s="35" t="n">
        <x:v>30</x:v>
      </x:c>
      <x:c r="E9" s="26" t="str">
        <x:v>Mingyu (SEVENTEEN)</x:v>
      </x:c>
      <x:c r="F9" s="26" t="str">
        <x:v>Brand campaign model</x:v>
      </x:c>
      <x:c r="G9" s="26" t="str">
        <x:v>Brand-level</x:v>
      </x:c>
      <x:c r="H9" s="26" t="str">
        <x:v>From innisfree, which featured SEVENTEEN Mingyu in its 2023 global brand campaign.</x:v>
      </x:c>
      <x:c r="I9" s="39" t="n">
        <x:v>44987.5</x:v>
      </x:c>
      <x:c r="J9" s="26" t="str">
        <x:v>https://stories.amorepacific.com/en/innisfree-welcomes-global-artist-mingyu-from-seventeen-as-its-new-global-model/</x:v>
      </x:c>
      <x:c r="K9" s="26" t="str">
        <x:v>Dated appointment verified; current contract unconfirmed.</x:v>
      </x:c>
      <x:c r="L9" s="26" t="str">
        <x:v>Source publication or campaign date</x:v>
      </x:c>
      <x:c r="M9" s="26" t="str">
        <x:v>Global</x:v>
      </x:c>
    </x:row>
    <x:row r="10" ht="48" hidden="0" customHeight="1">
      <x:c r="A10" s="27" t="n">
        <x:v>37</x:v>
      </x:c>
      <x:c r="B10" s="27" t="str">
        <x:v>HERA</x:v>
      </x:c>
      <x:c r="C10" s="27" t="str">
        <x:v>Black Cushion Foundation (single cushion), shade 17N1 Ivory</x:v>
      </x:c>
      <x:c r="D10" s="36" t="n">
        <x:v>43</x:v>
      </x:c>
      <x:c r="E10" s="27" t="str">
        <x:v>Jennie (BLACKPINK)</x:v>
      </x:c>
      <x:c r="F10" s="27" t="str">
        <x:v>Product campaign</x:v>
      </x:c>
      <x:c r="G10" s="27" t="str">
        <x:v>Product family; selected shade/formula unverified</x:v>
      </x:c>
      <x:c r="H10" s="27" t="str">
        <x:v>Black Cushion Foundation featured in HERA's 2024 campaign with BLACKPINK's Jennie.</x:v>
      </x:c>
      <x:c r="I10" s="40" t="n">
        <x:v>45530.5</x:v>
      </x:c>
      <x:c r="J10" s="27" t="str">
        <x:v>https://stories.amorepacific.com/%EC%95%84%EB%AA%A8%EB%A0%88%ED%8D%BC%EC%8B%9C%ED%94%BD-%ED%97%A4%EB%9D%BC-%EC%A0%9C%EB%8B%88%EC%99%80-%ED%95%A8%EA%BB%98-%EA%B8%80%EB%A1%9C%EB%B2%8C-%EC%BA%A0%ED%8E%98%EC%9D%B8-%EC%A0%84%EA%B0%9C/</x:v>
      </x:c>
      <x:c r="K10" s="27" t="str">
        <x:v>Verified dated campaign; current contract not confirmed</x:v>
      </x:c>
      <x:c r="L10" s="27" t="str">
        <x:v>Source publication or campaign date</x:v>
      </x:c>
      <x:c r="M10" s="27" t="str">
        <x:v>Not specified</x:v>
      </x:c>
    </x:row>
    <x:row r="11" ht="36" hidden="0" customHeight="1">
      <x:c r="A11" s="26" t="n">
        <x:v>38</x:v>
      </x:c>
      <x:c r="B11" s="26" t="str">
        <x:v>HERA</x:v>
      </x:c>
      <x:c r="C11" s="26" t="str">
        <x:v>Sensual Nude Gloss, shade 325 Sunkissed (Felix's Pick)</x:v>
      </x:c>
      <x:c r="D11" s="35" t="n">
        <x:v>35</x:v>
      </x:c>
      <x:c r="E11" s="26" t="str">
        <x:v>Felix (Stray Kids)</x:v>
      </x:c>
      <x:c r="F11" s="26" t="str">
        <x:v>Product campaign</x:v>
      </x:c>
      <x:c r="G11" s="26" t="str">
        <x:v>Exact product</x:v>
      </x:c>
      <x:c r="H11" s="26" t="str">
        <x:v>HERA's official shop promotes shade 325 Sunkissed as Felix's Pick.</x:v>
      </x:c>
      <x:c r="I11" s="39" t="n">
        <x:v>46300.5</x:v>
      </x:c>
      <x:c r="J11" s="26" t="str">
        <x:v>https://global.amoremall.com/products/felixs-pick-engraving-hera-sensual-nude-gloss</x:v>
      </x:c>
      <x:c r="K11" s="26" t="str">
        <x:v>Official selected-shade promotion observed 2026-10-05; contract term not confirmed</x:v>
      </x:c>
      <x:c r="L11" s="26" t="str">
        <x:v>Observation date of an undated official shop promotion, not a campaign launch date</x:v>
      </x:c>
      <x:c r="M11" s="26" t="str">
        <x:v>Not specified</x:v>
      </x:c>
    </x:row>
    <x:row r="12" ht="24" hidden="0" customHeight="1">
      <x:c r="A12" s="27" t="n">
        <x:v>39</x:v>
      </x:c>
      <x:c r="B12" s="27" t="str">
        <x:v>Sulwhasoo</x:v>
      </x:c>
      <x:c r="C12" s="27" t="str">
        <x:v>First Care Activating Serum VI</x:v>
      </x:c>
      <x:c r="D12" s="36" t="n">
        <x:v>89</x:v>
      </x:c>
      <x:c r="E12" s="27" t="str">
        <x:v>Rosé (BLACKPINK)</x:v>
      </x:c>
      <x:c r="F12" s="27" t="str">
        <x:v>Artist-reported use + brand ambassador</x:v>
      </x:c>
      <x:c r="G12" s="27" t="str">
        <x:v>Serum family; current VI formula unverified</x:v>
      </x:c>
      <x:c r="H12" s="27" t="str">
        <x:v>Rosé reported long-standing First Care Activating Serum use in Sulwhasoo's 2022 announcement.</x:v>
      </x:c>
      <x:c r="I12" s="40" t="n">
        <x:v>44824.5</x:v>
      </x:c>
      <x:c r="J12" s="27" t="str">
        <x:v>https://stories.amorepacific.com/en/from-the-origin-of-the-b/</x:v>
      </x:c>
      <x:c r="K12" s="27" t="str">
        <x:v>Verified dated campaign; current contract not confirmed</x:v>
      </x:c>
      <x:c r="L12" s="27" t="str">
        <x:v>Source publication or campaign date</x:v>
      </x:c>
      <x:c r="M12" s="27" t="str">
        <x:v>Not specified</x:v>
      </x:c>
    </x:row>
    <x:row r="13" ht="24" hidden="0" customHeight="1">
      <x:c r="A13" s="26" t="n">
        <x:v>40</x:v>
      </x:c>
      <x:c r="B13" s="26" t="str">
        <x:v>Sulwhasoo</x:v>
      </x:c>
      <x:c r="C13" s="26" t="str">
        <x:v>Gentle Cleansing Foam</x:v>
      </x:c>
      <x:c r="D13" s="35" t="n">
        <x:v>38</x:v>
      </x:c>
      <x:c r="E13" s="26" t="str">
        <x:v>Rosé (BLACKPINK)</x:v>
      </x:c>
      <x:c r="F13" s="26" t="str">
        <x:v>Brand ambassador</x:v>
      </x:c>
      <x:c r="G13" s="26" t="str">
        <x:v>Brand-level</x:v>
      </x:c>
      <x:c r="H13" s="26" t="str">
        <x:v>A cleanser from Sulwhasoo, the brand Rosé represented in its 2022 campaign.</x:v>
      </x:c>
      <x:c r="I13" s="39" t="n">
        <x:v>44824.5</x:v>
      </x:c>
      <x:c r="J13" s="26" t="str">
        <x:v>https://stories.amorepacific.com/en/from-the-origin-of-the-b/</x:v>
      </x:c>
      <x:c r="K13" s="26" t="str">
        <x:v>Verified dated campaign; current contract not confirmed</x:v>
      </x:c>
      <x:c r="L13" s="26" t="str">
        <x:v>Source publication or campaign date</x:v>
      </x:c>
      <x:c r="M13" s="26" t="str">
        <x:v>Not specified</x:v>
      </x:c>
    </x:row>
    <x:row r="14" ht="24" hidden="0" customHeight="1">
      <x:c r="A14" s="27" t="n">
        <x:v>41</x:v>
      </x:c>
      <x:c r="B14" s="27" t="str">
        <x:v>Mamonde</x:v>
      </x:c>
      <x:c r="C14" s="27" t="str">
        <x:v>Flora Glow Rose Daily Liquid Mask</x:v>
      </x:c>
      <x:c r="D14" s="36" t="n">
        <x:v>22</x:v>
      </x:c>
      <x:c r="E14" s="27" t="str">
        <x:v>Winter (aespa)</x:v>
      </x:c>
      <x:c r="F14" s="27" t="str">
        <x:v>Product campaign</x:v>
      </x:c>
      <x:c r="G14" s="27" t="str">
        <x:v>Exact product</x:v>
      </x:c>
      <x:c r="H14" s="27" t="str">
        <x:v>Flora Glow Rose Liquid Mask appeared in Mamonde's 2024 campaign with aespa's Winter.</x:v>
      </x:c>
      <x:c r="I14" s="40" t="n">
        <x:v>45582.5</x:v>
      </x:c>
      <x:c r="J14" s="27" t="str">
        <x:v>https://stories.amorepacific.com/en/amorepacific-mamonde-making-makeup-sit-pretty-day-after-day/</x:v>
      </x:c>
      <x:c r="K14" s="27" t="str">
        <x:v>Verified dated campaign; current contract not confirmed</x:v>
      </x:c>
      <x:c r="L14" s="27" t="str">
        <x:v>Source publication or campaign date</x:v>
      </x:c>
      <x:c r="M14" s="27" t="str">
        <x:v>Not specified</x:v>
      </x:c>
    </x:row>
    <x:row r="15" ht="48" hidden="0" customHeight="1">
      <x:c r="A15" s="26" t="n">
        <x:v>42</x:v>
      </x:c>
      <x:c r="B15" s="26" t="str">
        <x:v>Mamonde</x:v>
      </x:c>
      <x:c r="C15" s="26" t="str">
        <x:v>Pore Shrinker Bakuchiol Cream</x:v>
      </x:c>
      <x:c r="D15" s="35" t="n">
        <x:v>40</x:v>
      </x:c>
      <x:c r="E15" s="26" t="str">
        <x:v>Winter (aespa)</x:v>
      </x:c>
      <x:c r="F15" s="26" t="str">
        <x:v>Product campaign</x:v>
      </x:c>
      <x:c r="G15" s="26" t="str">
        <x:v>Exact product</x:v>
      </x:c>
      <x:c r="H15" s="26" t="str">
        <x:v>Pore Shrinker Bakuchiol Cream launched alongside Mamonde's 2023 campaign with aespa's Winter.</x:v>
      </x:c>
      <x:c r="I15" s="39" t="n">
        <x:v>45212.5</x:v>
      </x:c>
      <x:c r="J15" s="26" t="str">
        <x:v>https://stories.amorepacific.com/%EB%A7%88%EB%AA%BD%EB%93%9C-%EC%95%B0%EB%B2%84%EC%84%9C%EB%8D%94-%EC%9C%88%ED%84%B0%EC%99%80-%EB%A6%AC%EB%B8%8C%EB%9E%9C%EB%94%A9-%EC%BA%A0%ED%8E%98%EC%9D%B8-%EC%A0%84%EA%B0%9C/</x:v>
      </x:c>
      <x:c r="K15" s="26" t="str">
        <x:v>Verified dated campaign; current contract not confirmed</x:v>
      </x:c>
      <x:c r="L15" s="26" t="str">
        <x:v>Source publication or campaign date</x:v>
      </x:c>
      <x:c r="M15" s="26" t="str">
        <x:v>Not specified</x:v>
      </x:c>
    </x:row>
    <x:row r="16" ht="24" hidden="0" customHeight="1">
      <x:c r="A16" s="27" t="n">
        <x:v>43</x:v>
      </x:c>
      <x:c r="B16" s="27" t="str">
        <x:v>TIRTIR</x:v>
      </x:c>
      <x:c r="C16" s="27" t="str">
        <x:v>Mask Fit Red Cushion — 21N Ivory</x:v>
      </x:c>
      <x:c r="D16" s="36" t="n">
        <x:v>25</x:v>
      </x:c>
      <x:c r="E16" s="27" t="str">
        <x:v>V (Kim Taehyung) (BTS)</x:v>
      </x:c>
      <x:c r="F16" s="27" t="str">
        <x:v>Brand ambassador</x:v>
      </x:c>
      <x:c r="G16" s="27" t="str">
        <x:v>Brand-level</x:v>
      </x:c>
      <x:c r="H16" s="27" t="str">
        <x:v>Full-coverage cushion from TIRTIR, which announced BTS V as its brand ambassador in 2025.</x:v>
      </x:c>
      <x:c r="I16" s="40" t="n">
        <x:v>45967.5</x:v>
      </x:c>
      <x:c r="J16" s="27" t="str">
        <x:v>https://tirtir.global/blogs/press/tirtir-paints-new-york-red-demonstrating-its-global-influence</x:v>
      </x:c>
      <x:c r="K16" s="27" t="str">
        <x:v>Verified dated campaign; current contract not confirmed</x:v>
      </x:c>
      <x:c r="L16" s="27" t="str">
        <x:v>Source publication or campaign date</x:v>
      </x:c>
      <x:c r="M16" s="27" t="str">
        <x:v>Not specified</x:v>
      </x:c>
    </x:row>
    <x:row r="17" ht="24" hidden="0" customHeight="1">
      <x:c r="A17" s="26" t="n">
        <x:v>44</x:v>
      </x:c>
      <x:c r="B17" s="26" t="str">
        <x:v>TIRTIR</x:v>
      </x:c>
      <x:c r="C17" s="26" t="str">
        <x:v>Tinted Skin Glow Cushion — 10C Shell</x:v>
      </x:c>
      <x:c r="D17" s="35" t="n">
        <x:v>27</x:v>
      </x:c>
      <x:c r="E17" s="26" t="str">
        <x:v>V (Kim Taehyung) (BTS)</x:v>
      </x:c>
      <x:c r="F17" s="26" t="str">
        <x:v>Product campaign</x:v>
      </x:c>
      <x:c r="G17" s="26" t="str">
        <x:v>Exact product family; selected U.S. shade/formula not verified</x:v>
      </x:c>
      <x:c r="H17" s="26" t="str">
        <x:v>Lightweight glow cushion from the product family featured in TIRTIR's August 2026 campaign with BTS V.</x:v>
      </x:c>
      <x:c r="I17" s="39" t="n">
        <x:v>46260.5</x:v>
      </x:c>
      <x:c r="J17" s="26" t="str">
        <x:v>https://prtimes.jp/main/html/rd/p/000000075.000127171.html</x:v>
      </x:c>
      <x:c r="K17" s="26" t="str">
        <x:v>Verified dated campaign; current contract not confirmed</x:v>
      </x:c>
      <x:c r="L17" s="26" t="str">
        <x:v>Source publication or campaign date</x:v>
      </x:c>
      <x:c r="M17" s="26" t="str">
        <x:v>Not specified</x:v>
      </x:c>
    </x:row>
    <x:row r="18" ht="36" hidden="0" customHeight="1">
      <x:c r="A18" s="27" t="n">
        <x:v>45</x:v>
      </x:c>
      <x:c r="B18" s="27" t="str">
        <x:v>d'Alba</x:v>
      </x:c>
      <x:c r="C18" s="27" t="str">
        <x:v>White Truffle First Spray Hydrating Glow Mist Serum</x:v>
      </x:c>
      <x:c r="D18" s="36" t="n">
        <x:v>26</x:v>
      </x:c>
      <x:c r="E18" s="27" t="str">
        <x:v>Hoshi (Kwon Soonyoung) (SEVENTEEN)</x:v>
      </x:c>
      <x:c r="F18" s="27" t="str">
        <x:v>Brand ambassador</x:v>
      </x:c>
      <x:c r="G18" s="27" t="str">
        <x:v>Brand-level</x:v>
      </x:c>
      <x:c r="H18" s="27" t="str">
        <x:v>Dewy facial mist from d'Alba, which named SEVENTEEN's Hoshi its Asian Global Brand Ambassador in 2024.</x:v>
      </x:c>
      <x:c r="I18" s="40" t="n">
        <x:v>45443.5</x:v>
      </x:c>
      <x:c r="J18" s="27" t="str">
        <x:v>https://www.globenewswire.com/news-release/2024/05/31/2891283/0/en/d-Alba-BMonument-appointed-HOSHI-as-Asia-Global-Ambassador-accelerating-towards-business-expansion-in-South-East-Asia.html</x:v>
      </x:c>
      <x:c r="K18" s="27" t="str">
        <x:v>Verified dated campaign; current contract not confirmed</x:v>
      </x:c>
      <x:c r="L18" s="27" t="str">
        <x:v>Source publication or campaign date</x:v>
      </x:c>
      <x:c r="M18" s="27" t="str">
        <x:v>Not specified</x:v>
      </x:c>
    </x:row>
    <x:row r="19" ht="36" hidden="0" customHeight="1">
      <x:c r="A19" s="26" t="n">
        <x:v>46</x:v>
      </x:c>
      <x:c r="B19" s="26" t="str">
        <x:v>d'Alba</x:v>
      </x:c>
      <x:c r="C19" s="26" t="str">
        <x:v>Double Serum &amp; Cream 2-in-1 Moisturizer</x:v>
      </x:c>
      <x:c r="D19" s="35" t="n">
        <x:v>42</x:v>
      </x:c>
      <x:c r="E19" s="26" t="str">
        <x:v>Hoshi (Kwon Soonyoung) (SEVENTEEN)</x:v>
      </x:c>
      <x:c r="F19" s="26" t="str">
        <x:v>Brand ambassador</x:v>
      </x:c>
      <x:c r="G19" s="26" t="str">
        <x:v>Brand-level</x:v>
      </x:c>
      <x:c r="H19" s="26" t="str">
        <x:v>Customizable dual moisturizer from d'Alba, a brand that appointed SEVENTEEN's Hoshi its Asian ambassador in 2024.</x:v>
      </x:c>
      <x:c r="I19" s="39" t="n">
        <x:v>45443.5</x:v>
      </x:c>
      <x:c r="J19" s="26" t="str">
        <x:v>https://www.globenewswire.com/news-release/2024/05/31/2891283/0/en/d-Alba-BMonument-appointed-HOSHI-as-Asia-Global-Ambassador-accelerating-towards-business-expansion-in-South-East-Asia.html</x:v>
      </x:c>
      <x:c r="K19" s="26" t="str">
        <x:v>Verified dated campaign; current contract not confirmed</x:v>
      </x:c>
      <x:c r="L19" s="26" t="str">
        <x:v>Source publication or campaign date</x:v>
      </x:c>
      <x:c r="M19" s="26" t="str">
        <x:v>Not specified</x:v>
      </x:c>
    </x:row>
    <x:row r="20" ht="24" hidden="0" customHeight="1">
      <x:c r="A20" s="27" t="n">
        <x:v>47</x:v>
      </x:c>
      <x:c r="B20" s="27" t="str">
        <x:v>AMUSE</x:v>
      </x:c>
      <x:c r="C20" s="27" t="str">
        <x:v>Jel-Fit Tint — 01 Boksoonga Jelly</x:v>
      </x:c>
      <x:c r="D20" s="36" t="n">
        <x:v>19</x:v>
      </x:c>
      <x:c r="E20" s="27" t="str">
        <x:v>Jang Wonyoung (IVE)</x:v>
      </x:c>
      <x:c r="F20" s="27" t="str">
        <x:v>Product campaign</x:v>
      </x:c>
      <x:c r="G20" s="27" t="str">
        <x:v>Exact product family; selected shade not verified</x:v>
      </x:c>
      <x:c r="H20" s="27" t="str">
        <x:v>Glossy jelly lip tint from the family shown with IVE's Jang Wonyoung in AMUSE's October 2024 promotion.</x:v>
      </x:c>
      <x:c r="I20" s="40" t="n">
        <x:v>45578.5</x:v>
      </x:c>
      <x:c r="J20" s="27" t="str">
        <x:v>https://prtimes.jp/main/html/rd/p/000000006.000140231.html</x:v>
      </x:c>
      <x:c r="K20" s="27" t="str">
        <x:v>Verified dated campaign; current contract not confirmed</x:v>
      </x:c>
      <x:c r="L20" s="27" t="str">
        <x:v>Source publication or campaign date</x:v>
      </x:c>
      <x:c r="M20" s="27" t="str">
        <x:v>Not specified</x:v>
      </x:c>
    </x:row>
    <x:row r="21" ht="24" hidden="0" customHeight="1">
      <x:c r="A21" s="26" t="n">
        <x:v>48</x:v>
      </x:c>
      <x:c r="B21" s="26" t="str">
        <x:v>AMUSE</x:v>
      </x:c>
      <x:c r="C21" s="26" t="str">
        <x:v>Cheek Tok Tok — 01 Boksoonga Tok</x:v>
      </x:c>
      <x:c r="D21" s="35" t="n">
        <x:v>14</x:v>
      </x:c>
      <x:c r="E21" s="26" t="str">
        <x:v>Jang Wonyoung (IVE)</x:v>
      </x:c>
      <x:c r="F21" s="26" t="str">
        <x:v>Brand ambassador</x:v>
      </x:c>
      <x:c r="G21" s="26" t="str">
        <x:v>Brand-level</x:v>
      </x:c>
      <x:c r="H21" s="26" t="str">
        <x:v>Blendable liquid blush from AMUSE, which documented IVE's Jang Wonyoung as its brand model in 2024.</x:v>
      </x:c>
      <x:c r="I21" s="39" t="n">
        <x:v>45578.5</x:v>
      </x:c>
      <x:c r="J21" s="26" t="str">
        <x:v>https://prtimes.jp/main/html/rd/p/000000006.000140231.html</x:v>
      </x:c>
      <x:c r="K21" s="26" t="str">
        <x:v>Verified dated campaign; current contract not confirmed</x:v>
      </x:c>
      <x:c r="L21" s="26" t="str">
        <x:v>Source publication or campaign date</x:v>
      </x:c>
      <x:c r="M21" s="26" t="str">
        <x:v>Not specified</x:v>
      </x:c>
    </x:row>
    <x:row r="22" ht="36" hidden="0" customHeight="1">
      <x:c r="A22" s="27" t="n">
        <x:v>49</x:v>
      </x:c>
      <x:c r="B22" s="27" t="str">
        <x:v>espoir</x:v>
      </x:c>
      <x:c r="C22" s="27" t="str">
        <x:v>Couture Lip Tint Glaze</x:v>
      </x:c>
      <x:c r="D22" s="36" t="n">
        <x:v>22</x:v>
      </x:c>
      <x:c r="E22" s="27" t="str">
        <x:v>Winter (aespa)</x:v>
      </x:c>
      <x:c r="F22" s="27" t="str">
        <x:v>Brand ambassador</x:v>
      </x:c>
      <x:c r="G22" s="27" t="str">
        <x:v>Brand-level</x:v>
      </x:c>
      <x:c r="H22" s="27" t="str">
        <x:v>From espoir, whose 2023 Hushed Cherry campaign featured aespa's Winter.</x:v>
      </x:c>
      <x:c r="I22" s="40" t="n">
        <x:v>45285.5</x:v>
      </x:c>
      <x:c r="J22" s="27" t="str">
        <x:v>https://prtimes.jp/main/html/rd/p/000000001.000134875.html</x:v>
      </x:c>
      <x:c r="K22" s="27" t="str">
        <x:v>Documented December 2023 campaign; current contract and endorsement of the 4 g version unconfirmed.</x:v>
      </x:c>
      <x:c r="L22" s="27" t="str">
        <x:v>Source publication or campaign date</x:v>
      </x:c>
      <x:c r="M22" s="27" t="str">
        <x:v>Not specified</x:v>
      </x:c>
    </x:row>
    <x:row r="23" ht="24" hidden="0" customHeight="1">
      <x:c r="A23" s="26" t="n">
        <x:v>50</x:v>
      </x:c>
      <x:c r="B23" s="26" t="str">
        <x:v>espoir</x:v>
      </x:c>
      <x:c r="C23" s="26" t="str">
        <x:v>The Brow Color Fixing Cara</x:v>
      </x:c>
      <x:c r="D23" s="35" t="n">
        <x:v>17</x:v>
      </x:c>
      <x:c r="E23" s="26" t="str">
        <x:v>Winter (aespa)</x:v>
      </x:c>
      <x:c r="F23" s="26" t="str">
        <x:v>Brand ambassador</x:v>
      </x:c>
      <x:c r="G23" s="26" t="str">
        <x:v>Brand-level</x:v>
      </x:c>
      <x:c r="H23" s="26" t="str">
        <x:v>A brow product from espoir, which appointed aespa's Winter global ambassador in 2023.</x:v>
      </x:c>
      <x:c r="I23" s="39" t="n">
        <x:v>45285.5</x:v>
      </x:c>
      <x:c r="J23" s="26" t="str">
        <x:v>https://prtimes.jp/main/html/rd/p/000000001.000134875.html</x:v>
      </x:c>
      <x:c r="K23" s="26" t="str">
        <x:v>Historical December 2023 appointment; current contract unconfirmed.</x:v>
      </x:c>
      <x:c r="L23" s="26" t="str">
        <x:v>Source publication or campaign date</x:v>
      </x:c>
      <x:c r="M23" s="26" t="str">
        <x:v>Not specified</x:v>
      </x:c>
    </x:row>
    <x:row r="24" ht="24" hidden="0" customHeight="1">
      <x:c r="A24" s="27" t="n">
        <x:v>51</x:v>
      </x:c>
      <x:c r="B24" s="27" t="str">
        <x:v>NATURE REPUBLIC</x:v>
      </x:c>
      <x:c r="C24" s="27" t="str">
        <x:v>Mild &amp; Moisture Aloe Vera Watery Gel</x:v>
      </x:c>
      <x:c r="D24" s="36" t="n">
        <x:v>9.9</x:v>
      </x:c>
      <x:c r="E24" s="27" t="str">
        <x:v>NCT 127 (NCT 127)</x:v>
      </x:c>
      <x:c r="F24" s="27" t="str">
        <x:v>Brand ambassador</x:v>
      </x:c>
      <x:c r="G24" s="27" t="str">
        <x:v>Brand-level</x:v>
      </x:c>
      <x:c r="H24" s="27" t="str">
        <x:v>From Nature Republic, which partnered with NCT 127 as brand models in 2020.</x:v>
      </x:c>
      <x:c r="I24" s="40" t="str">
        <x:v>2020-04</x:v>
      </x:c>
      <x:c r="J24" s="27" t="str">
        <x:v>https://image2018.naturerepublic.com/brand/brand</x:v>
      </x:c>
      <x:c r="K24" s="27" t="str">
        <x:v>Historical partnership documented from 2020; current contract unconfirmed.</x:v>
      </x:c>
      <x:c r="L24" s="27" t="str">
        <x:v>Source month only</x:v>
      </x:c>
      <x:c r="M24" s="27" t="str">
        <x:v>Not specified</x:v>
      </x:c>
    </x:row>
    <x:row r="25" ht="24" hidden="0" customHeight="1">
      <x:c r="A25" s="26" t="n">
        <x:v>52</x:v>
      </x:c>
      <x:c r="B25" s="26" t="str">
        <x:v>NATURE REPUBLIC</x:v>
      </x:c>
      <x:c r="C25" s="26" t="str">
        <x:v>Vitapair C Toner</x:v>
      </x:c>
      <x:c r="D25" s="35" t="n">
        <x:v>25.9</x:v>
      </x:c>
      <x:c r="E25" s="26" t="str">
        <x:v>NCT 127 (NCT 127)</x:v>
      </x:c>
      <x:c r="F25" s="26" t="str">
        <x:v>Brand ambassador</x:v>
      </x:c>
      <x:c r="G25" s="26" t="str">
        <x:v>Brand-level</x:v>
      </x:c>
      <x:c r="H25" s="26" t="str">
        <x:v>A toner from Nature Republic, the brand that partnered with NCT 127 in 2020.</x:v>
      </x:c>
      <x:c r="I25" s="39" t="str">
        <x:v>2020-04</x:v>
      </x:c>
      <x:c r="J25" s="26" t="str">
        <x:v>https://image2018.naturerepublic.com/brand/brand</x:v>
      </x:c>
      <x:c r="K25" s="26" t="str">
        <x:v>Historical April 2020 contract; current contract unconfirmed.</x:v>
      </x:c>
      <x:c r="L25" s="26" t="str">
        <x:v>Source month only</x:v>
      </x:c>
      <x:c r="M25" s="26" t="str">
        <x:v>Not specified</x:v>
      </x:c>
    </x:row>
    <x:row r="26" ht="36" hidden="0" customHeight="1">
      <x:c r="A26" s="27" t="n">
        <x:v>53</x:v>
      </x:c>
      <x:c r="B26" s="27" t="str">
        <x:v>NACIFIC</x:v>
      </x:c>
      <x:c r="C26" s="27" t="str">
        <x:v>Fresh Herb Origin Serum</x:v>
      </x:c>
      <x:c r="D26" s="36" t="n">
        <x:v>26</x:v>
      </x:c>
      <x:c r="E26" s="27" t="str">
        <x:v>Stray Kids (Stray Kids)</x:v>
      </x:c>
      <x:c r="F26" s="27" t="str">
        <x:v>Product campaign</x:v>
      </x:c>
      <x:c r="G26" s="27" t="str">
        <x:v>Brand-level</x:v>
      </x:c>
      <x:c r="H26" s="27" t="str">
        <x:v>NACIFIC included Fresh Herb Origin Serum in a Stray Kids photocard promotion documented in 2021.</x:v>
      </x:c>
      <x:c r="I26" s="40" t="n">
        <x:v>44545.5</x:v>
      </x:c>
      <x:c r="J26" s="27" t="str">
        <x:v>https://m.nacific.com/skin-skin33/article/news/2/76373/page/2/</x:v>
      </x:c>
      <x:c r="K26" s="27" t="str">
        <x:v>Historical 2021 promotion; current contract, promotion and exact current-formula endorsement unconfirmed.</x:v>
      </x:c>
      <x:c r="L26" s="27" t="str">
        <x:v>Source publication or campaign date</x:v>
      </x:c>
      <x:c r="M26" s="27" t="str">
        <x:v>Not specified</x:v>
      </x:c>
    </x:row>
    <x:row r="27" ht="24" hidden="0" customHeight="1">
      <x:c r="A27" s="26" t="n">
        <x:v>54</x:v>
      </x:c>
      <x:c r="B27" s="26" t="str">
        <x:v>NACIFIC</x:v>
      </x:c>
      <x:c r="C27" s="26" t="str">
        <x:v>Fresh Herb Origin Cream</x:v>
      </x:c>
      <x:c r="D27" s="35" t="n">
        <x:v>27</x:v>
      </x:c>
      <x:c r="E27" s="26" t="str">
        <x:v>Stray Kids (Stray Kids)</x:v>
      </x:c>
      <x:c r="F27" s="26" t="str">
        <x:v>Brand ambassador</x:v>
      </x:c>
      <x:c r="G27" s="26" t="str">
        <x:v>Brand-level</x:v>
      </x:c>
      <x:c r="H27" s="26" t="str">
        <x:v>A moisturizer from NACIFIC, which announced Stray Kids as brand models in 2021.</x:v>
      </x:c>
      <x:c r="I27" s="39" t="n">
        <x:v>44545.5</x:v>
      </x:c>
      <x:c r="J27" s="26" t="str">
        <x:v>https://nacific.com/article/news/2/76372/page/2/</x:v>
      </x:c>
      <x:c r="K27" s="26" t="str">
        <x:v>Historical 2021 brand-model announcement; current contract unconfirmed.</x:v>
      </x:c>
      <x:c r="L27" s="26" t="str">
        <x:v>Source publication or campaign date</x:v>
      </x:c>
      <x:c r="M27" s="26" t="str">
        <x:v>Not specified</x:v>
      </x:c>
    </x:row>
    <x:row r="28" ht="24" hidden="0" customHeight="1">
      <x:c r="A28" s="27" t="n">
        <x:v>55</x:v>
      </x:c>
      <x:c r="B28" s="27" t="str">
        <x:v>MISSHA</x:v>
      </x:c>
      <x:c r="C28" s="27" t="str">
        <x:v>Time Revolution The First Essence 5X</x:v>
      </x:c>
      <x:c r="D28" s="36" t="n">
        <x:v>39</x:v>
      </x:c>
      <x:c r="E28" s="27" t="str">
        <x:v>Sana (TWICE)</x:v>
      </x:c>
      <x:c r="F28" s="27" t="str">
        <x:v>Brand campaign model / muse</x:v>
      </x:c>
      <x:c r="G28" s="27" t="str">
        <x:v>Brand-level</x:v>
      </x:c>
      <x:c r="H28" s="27" t="str">
        <x:v>From MISSHA, the brand featured in TWICE Sana's 2023 Japan muse campaign.</x:v>
      </x:c>
      <x:c r="I28" s="40" t="n">
        <x:v>45008.5</x:v>
      </x:c>
      <x:c r="J28" s="27" t="str">
        <x:v>https://prtimes.jp/main/html/rd/p/000000107.000023609.html</x:v>
      </x:c>
      <x:c r="K28" s="27" t="str">
        <x:v>Dated campaign verified; current contract unconfirmed.</x:v>
      </x:c>
      <x:c r="L28" s="27" t="str">
        <x:v>Source publication or campaign date</x:v>
      </x:c>
      <x:c r="M28" s="27" t="str">
        <x:v>Japan</x:v>
      </x:c>
    </x:row>
    <x:row r="29" ht="24" hidden="0" customHeight="1">
      <x:c r="A29" s="26" t="n">
        <x:v>56</x:v>
      </x:c>
      <x:c r="B29" s="26" t="str">
        <x:v>MISSHA</x:v>
      </x:c>
      <x:c r="C29" s="26" t="str">
        <x:v>Vita C Plus Spot Correcting &amp; Firming Ampoule</x:v>
      </x:c>
      <x:c r="D29" s="35" t="n">
        <x:v>30</x:v>
      </x:c>
      <x:c r="E29" s="26" t="str">
        <x:v>Sana (TWICE)</x:v>
      </x:c>
      <x:c r="F29" s="26" t="str">
        <x:v>Product campaign</x:v>
      </x:c>
      <x:c r="G29" s="26" t="str">
        <x:v>Product family; U.S. formula unverified</x:v>
      </x:c>
      <x:c r="H29" s="26" t="str">
        <x:v>MISSHA's Vita C Plus serum family appeared in TWICE Sana's 2023 Japan campaign.</x:v>
      </x:c>
      <x:c r="I29" s="39" t="n">
        <x:v>45008.5</x:v>
      </x:c>
      <x:c r="J29" s="26" t="str">
        <x:v>https://prtimes.jp/main/html/rd/p/000000107.000023609.html</x:v>
      </x:c>
      <x:c r="K29" s="26" t="str">
        <x:v>Dated campaign verified; current contract unconfirmed.</x:v>
      </x:c>
      <x:c r="L29" s="26" t="str">
        <x:v>Source publication or campaign date</x:v>
      </x:c>
      <x:c r="M29" s="26" t="str">
        <x:v>Japan</x:v>
      </x:c>
    </x:row>
  </x:sheetData>
  <x:pageMargins left="0.7" right="0.7" top="0.75" bottom="0.75" header="0.3" footer="0.3"/>
  <x:tableParts count="1">
    <x:tablePart xmlns:r="http://schemas.openxmlformats.org/officeDocument/2006/relationships" r:id="R7ad20a6abaf44714"/>
  </x:tableParts>
</x:worksheet>
</file>